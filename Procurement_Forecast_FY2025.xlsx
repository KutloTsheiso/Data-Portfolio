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 Forecast" sheetId="1" state="visible" r:id="rId1"/>
    <sheet xmlns:r="http://schemas.openxmlformats.org/officeDocument/2006/relationships" name="Forecast Charts" sheetId="2" state="hidden" r:id="rId2"/>
    <sheet xmlns:r="http://schemas.openxmlformats.org/officeDocument/2006/relationships" name="Variance Tracker" sheetId="3" state="visible" r:id="rId3"/>
    <sheet xmlns:r="http://schemas.openxmlformats.org/officeDocument/2006/relationships" name="Rollover 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#,##0"/>
    <numFmt numFmtId="165" formatCode="0.0%"/>
    <numFmt numFmtId="166" formatCode="yyyy-mm-dd"/>
    <numFmt numFmtId="167" formatCode="DD-MMM-YYYY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color rgb="006B7A8D"/>
      <sz val="9"/>
    </font>
    <font>
      <name val="Arial"/>
      <b val="1"/>
      <color rgb="002E86AB"/>
      <sz val="15"/>
    </font>
    <font>
      <name val="Arial"/>
      <b val="1"/>
      <color rgb="001A2332"/>
      <sz val="15"/>
    </font>
    <font>
      <name val="Arial"/>
      <b val="1"/>
      <color rgb="00F5A623"/>
      <sz val="15"/>
    </font>
    <font>
      <name val="Arial"/>
      <b val="1"/>
      <color rgb="001ABC9C"/>
      <sz val="15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2C3E50"/>
      <sz val="9.5"/>
    </font>
    <font>
      <name val="Arial"/>
      <b val="1"/>
      <color rgb="001ABC9C"/>
      <sz val="9.5"/>
    </font>
    <font>
      <name val="Arial"/>
      <b val="1"/>
      <color rgb="002E86AB"/>
      <sz val="9.5"/>
    </font>
    <font>
      <name val="Arial"/>
      <b val="1"/>
      <color rgb="00FFFFFF"/>
      <sz val="10"/>
    </font>
    <font>
      <name val="Arial"/>
      <b val="1"/>
      <color rgb="001ABC9C"/>
      <sz val="10"/>
    </font>
    <font>
      <name val="Arial"/>
      <b val="1"/>
      <color rgb="00F5A623"/>
      <sz val="10"/>
    </font>
    <font>
      <name val="Arial"/>
      <b val="1"/>
      <color rgb="0027AE60"/>
      <sz val="9.5"/>
    </font>
    <font>
      <name val="Arial"/>
      <b val="1"/>
      <color rgb="00E74C3C"/>
      <sz val="9.5"/>
    </font>
    <font>
      <name val="Arial"/>
      <b val="1"/>
      <color rgb="00FFFFFF"/>
      <sz val="13"/>
    </font>
    <font>
      <name val="Arial"/>
      <b val="1"/>
      <color rgb="00FFFFFF"/>
      <sz val="9.5"/>
    </font>
    <font>
      <name val="Arial"/>
      <b val="1"/>
      <color rgb="00856404"/>
      <sz val="9.5"/>
    </font>
    <font>
      <name val="Arial"/>
      <i val="1"/>
      <color rgb="000C5460"/>
      <sz val="9"/>
    </font>
    <font>
      <name val="Arial"/>
      <b val="1"/>
      <color rgb="00FFFFFF"/>
      <sz val="12"/>
    </font>
    <font>
      <name val="Arial"/>
      <color rgb="002C3E50"/>
      <sz val="9"/>
    </font>
    <font>
      <name val="Arial"/>
      <b val="1"/>
      <color rgb="00F5A623"/>
      <sz val="9"/>
    </font>
    <font>
      <name val="Arial"/>
      <b val="1"/>
      <color rgb="00E74C3C"/>
      <sz val="9"/>
    </font>
  </fonts>
  <fills count="9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2E86AB"/>
        <bgColor rgb="002E86AB"/>
      </patternFill>
    </fill>
    <fill>
      <patternFill patternType="solid">
        <fgColor rgb="00F4F6F9"/>
        <bgColor rgb="00F4F6F9"/>
      </patternFill>
    </fill>
    <fill>
      <patternFill patternType="solid">
        <fgColor rgb="00FFFFFF"/>
        <bgColor rgb="00FFFFFF"/>
      </patternFill>
    </fill>
    <fill>
      <patternFill patternType="solid">
        <fgColor rgb="00FFFDE7"/>
        <bgColor rgb="00FFFDE7"/>
      </patternFill>
    </fill>
    <fill>
      <patternFill patternType="solid">
        <fgColor rgb="00D1ECF1"/>
        <bgColor rgb="00D1ECF1"/>
      </patternFill>
    </fill>
    <fill>
      <patternFill patternType="solid">
        <fgColor rgb="001ABC9C"/>
        <bgColor rgb="001ABC9C"/>
      </patternFill>
    </fill>
  </fills>
  <borders count="2">
    <border>
      <left/>
      <right/>
      <top/>
      <bottom/>
      <diagonal/>
    </border>
    <border>
      <left style="thin">
        <color rgb="00D1D9E0"/>
      </left>
      <right style="thin">
        <color rgb="00D1D9E0"/>
      </right>
      <top style="thin">
        <color rgb="00D1D9E0"/>
      </top>
      <bottom style="thin">
        <color rgb="00D1D9E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0" fillId="5" borderId="1" pivotButton="0" quotePrefix="0" xfId="0"/>
    <xf numFmtId="165" fontId="16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0" fillId="4" borderId="1" pivotButton="0" quotePrefix="0" xfId="0"/>
    <xf numFmtId="165" fontId="16" fillId="4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164" fontId="20" fillId="6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167" fontId="23" fillId="4" borderId="1" applyAlignment="1" pivotButton="0" quotePrefix="0" xfId="0">
      <alignment horizontal="center" vertical="center"/>
    </xf>
    <xf numFmtId="1" fontId="23" fillId="4" borderId="1" applyAlignment="1" pivotButton="0" quotePrefix="0" xfId="0">
      <alignment horizontal="center" vertical="center"/>
    </xf>
    <xf numFmtId="164" fontId="23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/>
    </xf>
    <xf numFmtId="167" fontId="23" fillId="5" borderId="1" applyAlignment="1" pivotButton="0" quotePrefix="0" xfId="0">
      <alignment horizontal="center" vertical="center"/>
    </xf>
    <xf numFmtId="1" fontId="23" fillId="5" borderId="1" applyAlignment="1" pivotButton="0" quotePrefix="0" xfId="0">
      <alignment horizontal="center" vertical="center"/>
    </xf>
    <xf numFmtId="164" fontId="23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Spend: FY2024 Actual vs FY2025 Projected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 Charts'!B2</f>
            </strRef>
          </tx>
          <spPr>
            <a:ln xmlns:a="http://schemas.openxmlformats.org/drawingml/2006/main" w="20000">
              <a:solidFill>
                <a:srgbClr val="D1D9E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'Forecast Charts'!$A$3:$A$14</f>
            </numRef>
          </cat>
          <val>
            <numRef>
              <f>'Forecast Charts'!$B$3:$B$14</f>
            </numRef>
          </val>
          <smooth val="1"/>
        </ser>
        <ser>
          <idx val="1"/>
          <order val="1"/>
          <tx>
            <strRef>
              <f>'Forecast Charts'!C2</f>
            </strRef>
          </tx>
          <spPr>
            <a:ln xmlns:a="http://schemas.openxmlformats.org/drawingml/2006/main" w="25000">
              <a:solidFill>
                <a:srgbClr val="2E86AB"/>
              </a:solidFill>
              <a:prstDash val="solid"/>
            </a:ln>
          </spPr>
          <marker>
            <symbol val="diamond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'Forecast Charts'!$A$3:$A$14</f>
            </numRef>
          </cat>
          <val>
            <numRef>
              <f>'Forecast Charts'!$C$3:$C$14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(R)</a:t>
                </a:r>
              </a:p>
            </rich>
          </tx>
        </title>
        <numFmt formatCode="R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Supplier Spend: FY2024 vs FY2025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 Charts'!F2</f>
            </strRef>
          </tx>
          <spPr>
            <a:solidFill xmlns:a="http://schemas.openxmlformats.org/drawingml/2006/main">
              <a:srgbClr val="D1D9E0"/>
            </a:solidFill>
            <a:ln xmlns:a="http://schemas.openxmlformats.org/drawingml/2006/main">
              <a:prstDash val="solid"/>
            </a:ln>
          </spPr>
          <cat>
            <numRef>
              <f>'Forecast Charts'!$E$3:$E$12</f>
            </numRef>
          </cat>
          <val>
            <numRef>
              <f>'Forecast Charts'!$F$3:$F$12</f>
            </numRef>
          </val>
        </ser>
        <ser>
          <idx val="1"/>
          <order val="1"/>
          <tx>
            <strRef>
              <f>'Forecast Charts'!G2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'Forecast Charts'!$E$3:$E$12</f>
            </numRef>
          </cat>
          <val>
            <numRef>
              <f>'Forecast Charts'!$G$3:$G$12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(R)</a:t>
                </a:r>
              </a:p>
            </rich>
          </tx>
        </title>
        <numFmt formatCode="R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Spend: FY2024 vs FY2025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 Charts'!N2</f>
            </strRef>
          </tx>
          <spPr>
            <a:solidFill xmlns:a="http://schemas.openxmlformats.org/drawingml/2006/main">
              <a:srgbClr val="D1D9E0"/>
            </a:solidFill>
            <a:ln xmlns:a="http://schemas.openxmlformats.org/drawingml/2006/main">
              <a:prstDash val="solid"/>
            </a:ln>
          </spPr>
          <cat>
            <numRef>
              <f>'Forecast Charts'!$M$3:$M$6</f>
            </numRef>
          </cat>
          <val>
            <numRef>
              <f>'Forecast Charts'!$N$3:$N$6</f>
            </numRef>
          </val>
        </ser>
        <ser>
          <idx val="1"/>
          <order val="1"/>
          <tx>
            <strRef>
              <f>'Forecast Charts'!O2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prstDash val="solid"/>
            </a:ln>
          </spPr>
          <cat>
            <numRef>
              <f>'Forecast Charts'!$M$3:$M$6</f>
            </numRef>
          </cat>
          <val>
            <numRef>
              <f>'Forecast Charts'!$O$3:$O$6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(R)</a:t>
                </a:r>
              </a:p>
            </rich>
          </tx>
        </title>
        <numFmt formatCode="R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Spend: FY2024 vs FY2025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'Forecast Charts'!J2</f>
            </strRef>
          </tx>
          <spPr>
            <a:solidFill xmlns:a="http://schemas.openxmlformats.org/drawingml/2006/main">
              <a:srgbClr val="D1D9E0"/>
            </a:solidFill>
            <a:ln xmlns:a="http://schemas.openxmlformats.org/drawingml/2006/main">
              <a:prstDash val="solid"/>
            </a:ln>
          </spPr>
          <cat>
            <numRef>
              <f>'Forecast Charts'!$I$3:$I$6</f>
            </numRef>
          </cat>
          <val>
            <numRef>
              <f>'Forecast Charts'!$J$3:$J$6</f>
            </numRef>
          </val>
        </ser>
        <ser>
          <idx val="1"/>
          <order val="1"/>
          <tx>
            <strRef>
              <f>'Forecast Charts'!K2</f>
            </strRef>
          </tx>
          <spPr>
            <a:solidFill xmlns:a="http://schemas.openxmlformats.org/drawingml/2006/main">
              <a:srgbClr val="8E44AD"/>
            </a:solidFill>
            <a:ln xmlns:a="http://schemas.openxmlformats.org/drawingml/2006/main">
              <a:prstDash val="solid"/>
            </a:ln>
          </spPr>
          <cat>
            <numRef>
              <f>'Forecast Charts'!$I$3:$I$6</f>
            </numRef>
          </cat>
          <val>
            <numRef>
              <f>'Forecast Charts'!$K$3:$K$6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(R)</a:t>
                </a:r>
              </a:p>
            </rich>
          </tx>
        </title>
        <numFmt formatCode="R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47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3" customWidth="1" min="8" max="8"/>
    <col width="28" customWidth="1" min="9" max="9"/>
    <col width="18" customWidth="1" min="10" max="10"/>
    <col width="20" customWidth="1" min="11" max="11"/>
    <col width="16" customWidth="1" min="12" max="12"/>
    <col width="12" customWidth="1" min="13" max="13"/>
    <col width="3" customWidth="1" min="14" max="14"/>
  </cols>
  <sheetData>
    <row r="1" ht="38" customHeight="1">
      <c r="A1" s="1" t="inlineStr">
        <is>
          <t>PROCUREMENT FORECAST — FY 2025</t>
        </is>
      </c>
    </row>
    <row r="2" ht="18" customHeight="1">
      <c r="A2" s="2" t="inlineStr">
        <is>
          <t>Kutlo Hlolo Tsheiso  |  Projection Method: Trend Growth + SA Inflation (5.5%)  |  Rollover: Pending + Delayed Cancelled POs</t>
        </is>
      </c>
    </row>
    <row r="4" ht="20" customHeight="1">
      <c r="A4" s="3" t="inlineStr">
        <is>
          <t>FY2025 Projected Spend</t>
        </is>
      </c>
      <c r="D4" s="3" t="inlineStr">
        <is>
          <t>FY2024 Actual Spend</t>
        </is>
      </c>
      <c r="G4" s="3" t="inlineStr">
        <is>
          <t>YoY Growth (incl. infl.)</t>
        </is>
      </c>
      <c r="J4" s="3" t="inlineStr">
        <is>
          <t>Rollover POs into 2025</t>
        </is>
      </c>
    </row>
    <row r="5" ht="34" customHeight="1">
      <c r="A5" s="4" t="n">
        <v>9686943.439999999</v>
      </c>
      <c r="D5" s="5" t="n">
        <v>7555779.25</v>
      </c>
      <c r="G5" s="6" t="n">
        <v>0.282</v>
      </c>
      <c r="J5" s="7" t="n">
        <v>27</v>
      </c>
    </row>
    <row r="6" ht="10" customHeight="1"/>
    <row r="7" ht="22" customHeight="1">
      <c r="A7" s="8" t="inlineStr">
        <is>
          <t>Monthly Spend: FY2024 Actual vs FY2025 Projected</t>
        </is>
      </c>
      <c r="I7" s="8" t="inlineStr">
        <is>
          <t>Supplier Spend: FY2024 vs FY2025 Projected</t>
        </is>
      </c>
    </row>
    <row r="8">
      <c r="A8" s="9" t="inlineStr">
        <is>
          <t>Month (2024)</t>
        </is>
      </c>
      <c r="B8" s="9" t="inlineStr">
        <is>
          <t>FY2024 Actual (R)</t>
        </is>
      </c>
      <c r="C8" s="9" t="inlineStr">
        <is>
          <t>Month (2025)</t>
        </is>
      </c>
      <c r="D8" s="9" t="inlineStr">
        <is>
          <t>Trend Base (R)</t>
        </is>
      </c>
      <c r="E8" s="9" t="inlineStr">
        <is>
          <t>Inflation Adj (R)</t>
        </is>
      </c>
      <c r="F8" s="9" t="inlineStr">
        <is>
          <t>Rollover Added (R)</t>
        </is>
      </c>
      <c r="G8" s="9" t="inlineStr">
        <is>
          <t>FY2025 Total Proj (R)</t>
        </is>
      </c>
      <c r="I8" s="9" t="inlineStr">
        <is>
          <t>Supplier</t>
        </is>
      </c>
      <c r="J8" s="9" t="inlineStr">
        <is>
          <t>FY2024 Actual (R)</t>
        </is>
      </c>
      <c r="K8" s="9" t="inlineStr">
        <is>
          <t>FY2025 Projected (R)</t>
        </is>
      </c>
      <c r="L8" s="9" t="inlineStr">
        <is>
          <t>Change (R)</t>
        </is>
      </c>
      <c r="M8" s="9" t="inlineStr">
        <is>
          <t>Growth %</t>
        </is>
      </c>
    </row>
    <row r="9">
      <c r="A9" s="10" t="inlineStr">
        <is>
          <t>Jan 2024</t>
        </is>
      </c>
      <c r="B9" s="11" t="n">
        <v>899564.39</v>
      </c>
      <c r="C9" s="10" t="inlineStr">
        <is>
          <t>Jan 2025</t>
        </is>
      </c>
      <c r="D9" s="11" t="n">
        <v>640119.21</v>
      </c>
      <c r="E9" s="11" t="n">
        <v>35206.56</v>
      </c>
      <c r="F9" s="12" t="n">
        <v>588346.5</v>
      </c>
      <c r="G9" s="13" t="n">
        <v>1263672.27</v>
      </c>
      <c r="I9" s="14" t="inlineStr">
        <is>
          <t>Makro SA</t>
        </is>
      </c>
      <c r="J9" s="11" t="n">
        <v>506142.24</v>
      </c>
      <c r="K9" s="11" t="n">
        <v>648903.45</v>
      </c>
      <c r="L9" s="11" t="n">
        <v>142761.21</v>
      </c>
      <c r="M9" s="15" t="n">
        <v>0.2821</v>
      </c>
    </row>
    <row r="10">
      <c r="A10" s="16" t="inlineStr">
        <is>
          <t>Feb 2024</t>
        </is>
      </c>
      <c r="B10" s="17" t="n">
        <v>404393.48</v>
      </c>
      <c r="C10" s="16" t="inlineStr">
        <is>
          <t>Feb 2025</t>
        </is>
      </c>
      <c r="D10" s="17" t="n">
        <v>641730.13</v>
      </c>
      <c r="E10" s="17" t="n">
        <v>35295.16</v>
      </c>
      <c r="F10" s="18" t="n">
        <v>514803.19</v>
      </c>
      <c r="G10" s="19" t="n">
        <v>1191828.47</v>
      </c>
      <c r="I10" s="20" t="inlineStr">
        <is>
          <t>Bidvest Facilities</t>
        </is>
      </c>
      <c r="J10" s="17" t="n">
        <v>1042219.95</v>
      </c>
      <c r="K10" s="17" t="n">
        <v>1336185.9</v>
      </c>
      <c r="L10" s="17" t="n">
        <v>293965.95</v>
      </c>
      <c r="M10" s="21" t="n">
        <v>0.2821</v>
      </c>
    </row>
    <row r="11">
      <c r="A11" s="10" t="inlineStr">
        <is>
          <t>Mar 2024</t>
        </is>
      </c>
      <c r="B11" s="11" t="n">
        <v>328778.97</v>
      </c>
      <c r="C11" s="10" t="inlineStr">
        <is>
          <t>Mar 2025</t>
        </is>
      </c>
      <c r="D11" s="11" t="n">
        <v>643341.04</v>
      </c>
      <c r="E11" s="11" t="n">
        <v>35383.76</v>
      </c>
      <c r="F11" s="12" t="n">
        <v>367716.56</v>
      </c>
      <c r="G11" s="13" t="n">
        <v>1046441.36</v>
      </c>
      <c r="I11" s="14" t="inlineStr">
        <is>
          <t>Incredible Connection</t>
        </is>
      </c>
      <c r="J11" s="11" t="n">
        <v>1472019.74</v>
      </c>
      <c r="K11" s="11" t="n">
        <v>1887213.94</v>
      </c>
      <c r="L11" s="11" t="n">
        <v>415194.2</v>
      </c>
      <c r="M11" s="15" t="n">
        <v>0.2821</v>
      </c>
    </row>
    <row r="12">
      <c r="A12" s="16" t="inlineStr">
        <is>
          <t>Apr 2024</t>
        </is>
      </c>
      <c r="B12" s="17" t="n">
        <v>914056.46</v>
      </c>
      <c r="C12" s="16" t="inlineStr">
        <is>
          <t>Apr 2025</t>
        </is>
      </c>
      <c r="D12" s="17" t="n">
        <v>644951.96</v>
      </c>
      <c r="E12" s="17" t="n">
        <v>35472.36</v>
      </c>
      <c r="F12" s="17" t="n">
        <v>0</v>
      </c>
      <c r="G12" s="19" t="n">
        <v>680424.3100000001</v>
      </c>
      <c r="I12" s="20" t="inlineStr">
        <is>
          <t>Pick n Pay Trade</t>
        </is>
      </c>
      <c r="J12" s="17" t="n">
        <v>928000.52</v>
      </c>
      <c r="K12" s="17" t="n">
        <v>1189750.02</v>
      </c>
      <c r="L12" s="17" t="n">
        <v>261749.5</v>
      </c>
      <c r="M12" s="21" t="n">
        <v>0.2821</v>
      </c>
    </row>
    <row r="13">
      <c r="A13" s="10" t="inlineStr">
        <is>
          <t>May 2024</t>
        </is>
      </c>
      <c r="B13" s="11" t="n">
        <v>397663</v>
      </c>
      <c r="C13" s="10" t="inlineStr">
        <is>
          <t>May 2025</t>
        </is>
      </c>
      <c r="D13" s="11" t="n">
        <v>646562.87</v>
      </c>
      <c r="E13" s="11" t="n">
        <v>35560.96</v>
      </c>
      <c r="F13" s="11" t="n">
        <v>0</v>
      </c>
      <c r="G13" s="13" t="n">
        <v>682123.83</v>
      </c>
      <c r="I13" s="14" t="inlineStr">
        <is>
          <t>Rand Merchant Print</t>
        </is>
      </c>
      <c r="J13" s="11" t="n">
        <v>961130.08</v>
      </c>
      <c r="K13" s="11" t="n">
        <v>1232224.03</v>
      </c>
      <c r="L13" s="11" t="n">
        <v>271093.95</v>
      </c>
      <c r="M13" s="15" t="n">
        <v>0.2821</v>
      </c>
    </row>
    <row r="14">
      <c r="A14" s="16" t="inlineStr">
        <is>
          <t>Jun 2024</t>
        </is>
      </c>
      <c r="B14" s="17" t="n">
        <v>485803.33</v>
      </c>
      <c r="C14" s="16" t="inlineStr">
        <is>
          <t>Jun 2025</t>
        </is>
      </c>
      <c r="D14" s="17" t="n">
        <v>648173.78</v>
      </c>
      <c r="E14" s="17" t="n">
        <v>35649.56</v>
      </c>
      <c r="F14" s="17" t="n">
        <v>0</v>
      </c>
      <c r="G14" s="19" t="n">
        <v>683823.34</v>
      </c>
      <c r="I14" s="20" t="inlineStr">
        <is>
          <t>Builders Warehouse</t>
        </is>
      </c>
      <c r="J14" s="17" t="n">
        <v>441799.02</v>
      </c>
      <c r="K14" s="17" t="n">
        <v>566411.75</v>
      </c>
      <c r="L14" s="17" t="n">
        <v>124612.73</v>
      </c>
      <c r="M14" s="21" t="n">
        <v>0.2821</v>
      </c>
    </row>
    <row r="15">
      <c r="A15" s="10" t="inlineStr">
        <is>
          <t>Jul 2024</t>
        </is>
      </c>
      <c r="B15" s="11" t="n">
        <v>674749.39</v>
      </c>
      <c r="C15" s="10" t="inlineStr">
        <is>
          <t>Jul 2025</t>
        </is>
      </c>
      <c r="D15" s="11" t="n">
        <v>649784.7</v>
      </c>
      <c r="E15" s="11" t="n">
        <v>35738.16</v>
      </c>
      <c r="F15" s="11" t="n">
        <v>0</v>
      </c>
      <c r="G15" s="13" t="n">
        <v>685522.86</v>
      </c>
      <c r="I15" s="14" t="inlineStr">
        <is>
          <t>Nashua Office</t>
        </is>
      </c>
      <c r="J15" s="11" t="n">
        <v>585696.38</v>
      </c>
      <c r="K15" s="11" t="n">
        <v>750896.4399999999</v>
      </c>
      <c r="L15" s="11" t="n">
        <v>165200.06</v>
      </c>
      <c r="M15" s="15" t="n">
        <v>0.2821</v>
      </c>
    </row>
    <row r="16">
      <c r="A16" s="16" t="inlineStr">
        <is>
          <t>Aug 2024</t>
        </is>
      </c>
      <c r="B16" s="17" t="n">
        <v>930968.08</v>
      </c>
      <c r="C16" s="16" t="inlineStr">
        <is>
          <t>Aug 2025</t>
        </is>
      </c>
      <c r="D16" s="17" t="n">
        <v>651395.61</v>
      </c>
      <c r="E16" s="17" t="n">
        <v>35826.76</v>
      </c>
      <c r="F16" s="17" t="n">
        <v>0</v>
      </c>
      <c r="G16" s="19" t="n">
        <v>687222.37</v>
      </c>
      <c r="I16" s="20" t="inlineStr">
        <is>
          <t>Tiger Brands</t>
        </is>
      </c>
      <c r="J16" s="17" t="n">
        <v>476826.1</v>
      </c>
      <c r="K16" s="17" t="n">
        <v>611318.48</v>
      </c>
      <c r="L16" s="17" t="n">
        <v>134492.38</v>
      </c>
      <c r="M16" s="21" t="n">
        <v>0.2821</v>
      </c>
    </row>
    <row r="17">
      <c r="A17" s="10" t="inlineStr">
        <is>
          <t>Sep 2024</t>
        </is>
      </c>
      <c r="B17" s="11" t="n">
        <v>691695.23</v>
      </c>
      <c r="C17" s="10" t="inlineStr">
        <is>
          <t>Sep 2025</t>
        </is>
      </c>
      <c r="D17" s="11" t="n">
        <v>653006.53</v>
      </c>
      <c r="E17" s="11" t="n">
        <v>35915.36</v>
      </c>
      <c r="F17" s="11" t="n">
        <v>0</v>
      </c>
      <c r="G17" s="13" t="n">
        <v>688921.89</v>
      </c>
      <c r="I17" s="14" t="inlineStr">
        <is>
          <t>Staples SA</t>
        </is>
      </c>
      <c r="J17" s="11" t="n">
        <v>663703.13</v>
      </c>
      <c r="K17" s="11" t="n">
        <v>850905.5699999999</v>
      </c>
      <c r="L17" s="11" t="n">
        <v>187202.44</v>
      </c>
      <c r="M17" s="15" t="n">
        <v>0.2821</v>
      </c>
    </row>
    <row r="18">
      <c r="A18" s="16" t="inlineStr">
        <is>
          <t>Oct 2024</t>
        </is>
      </c>
      <c r="B18" s="17" t="n">
        <v>828596.8</v>
      </c>
      <c r="C18" s="16" t="inlineStr">
        <is>
          <t>Oct 2025</t>
        </is>
      </c>
      <c r="D18" s="17" t="n">
        <v>654617.4399999999</v>
      </c>
      <c r="E18" s="17" t="n">
        <v>36003.96</v>
      </c>
      <c r="F18" s="17" t="n">
        <v>0</v>
      </c>
      <c r="G18" s="19" t="n">
        <v>690621.4</v>
      </c>
      <c r="I18" s="20" t="inlineStr">
        <is>
          <t>Digitec SA</t>
        </is>
      </c>
      <c r="J18" s="17" t="n">
        <v>478242.09</v>
      </c>
      <c r="K18" s="17" t="n">
        <v>613133.86</v>
      </c>
      <c r="L18" s="17" t="n">
        <v>134891.77</v>
      </c>
      <c r="M18" s="21" t="n">
        <v>0.2821</v>
      </c>
    </row>
    <row r="19">
      <c r="A19" s="10" t="inlineStr">
        <is>
          <t>Nov 2024</t>
        </is>
      </c>
      <c r="B19" s="11" t="n">
        <v>587460.11</v>
      </c>
      <c r="C19" s="10" t="inlineStr">
        <is>
          <t>Nov 2025</t>
        </is>
      </c>
      <c r="D19" s="11" t="n">
        <v>656228.35</v>
      </c>
      <c r="E19" s="11" t="n">
        <v>36092.56</v>
      </c>
      <c r="F19" s="11" t="n">
        <v>0</v>
      </c>
      <c r="G19" s="13" t="n">
        <v>692320.91</v>
      </c>
      <c r="I19" s="22" t="inlineStr">
        <is>
          <t>TOTAL</t>
        </is>
      </c>
      <c r="J19" s="23" t="n">
        <v>7555779.25</v>
      </c>
      <c r="K19" s="23" t="n">
        <v>9686943.440000001</v>
      </c>
      <c r="L19" s="23" t="n">
        <v>2131164.19</v>
      </c>
      <c r="M19" s="24" t="n">
        <v>0.2821</v>
      </c>
    </row>
    <row r="20">
      <c r="A20" s="16" t="inlineStr">
        <is>
          <t>Dec 2024</t>
        </is>
      </c>
      <c r="B20" s="17" t="n">
        <v>412050.01</v>
      </c>
      <c r="C20" s="16" t="inlineStr">
        <is>
          <t>Dec 2025</t>
        </is>
      </c>
      <c r="D20" s="17" t="n">
        <v>657839.27</v>
      </c>
      <c r="E20" s="17" t="n">
        <v>36181.16</v>
      </c>
      <c r="F20" s="17" t="n">
        <v>0</v>
      </c>
      <c r="G20" s="19" t="n">
        <v>694020.4300000001</v>
      </c>
    </row>
    <row r="21">
      <c r="A21" s="22" t="inlineStr">
        <is>
          <t>TOTAL</t>
        </is>
      </c>
      <c r="B21" s="23" t="n">
        <v>7555779.25</v>
      </c>
      <c r="C21" s="22" t="inlineStr">
        <is>
          <t>TOTAL</t>
        </is>
      </c>
      <c r="D21" s="23" t="n">
        <v>7787750.890000001</v>
      </c>
      <c r="E21" s="23" t="n">
        <v>428326.3200000001</v>
      </c>
      <c r="F21" s="25" t="n">
        <v>1470866.25</v>
      </c>
      <c r="G21" s="26" t="n">
        <v>9686943.439999999</v>
      </c>
    </row>
    <row r="23" ht="22" customHeight="1">
      <c r="A23" s="8" t="inlineStr">
        <is>
          <t>Category Spend: FY2024 vs FY2025 Projected</t>
        </is>
      </c>
      <c r="I23" s="8" t="inlineStr">
        <is>
          <t>Quarterly Comparison: FY2024 vs FY2025</t>
        </is>
      </c>
    </row>
    <row r="24">
      <c r="A24" s="9" t="inlineStr">
        <is>
          <t>Category</t>
        </is>
      </c>
      <c r="B24" s="9" t="inlineStr">
        <is>
          <t>FY2024 Actual (R)</t>
        </is>
      </c>
      <c r="C24" s="9" t="inlineStr">
        <is>
          <t>FY2025 Projected (R)</t>
        </is>
      </c>
      <c r="D24" s="9" t="inlineStr">
        <is>
          <t>Change (R)</t>
        </is>
      </c>
      <c r="E24" s="9" t="inlineStr">
        <is>
          <t>Growth %</t>
        </is>
      </c>
      <c r="F24" s="9" t="inlineStr">
        <is>
          <t>% of Total Spend</t>
        </is>
      </c>
      <c r="I24" s="9" t="inlineStr">
        <is>
          <t>Quarter</t>
        </is>
      </c>
      <c r="J24" s="9" t="inlineStr">
        <is>
          <t>FY2024 (R)</t>
        </is>
      </c>
      <c r="K24" s="9" t="inlineStr">
        <is>
          <t>FY2025 Proj (R)</t>
        </is>
      </c>
      <c r="L24" s="9" t="inlineStr">
        <is>
          <t>Variance (R)</t>
        </is>
      </c>
      <c r="M24" s="9" t="inlineStr">
        <is>
          <t>Growth %</t>
        </is>
      </c>
    </row>
    <row r="25">
      <c r="A25" s="14" t="inlineStr">
        <is>
          <t>Facilities &amp; Maintenance</t>
        </is>
      </c>
      <c r="B25" s="11" t="n">
        <v>1484018.97</v>
      </c>
      <c r="C25" s="11" t="n">
        <v>1902597.65</v>
      </c>
      <c r="D25" s="11" t="n">
        <v>418578.68</v>
      </c>
      <c r="E25" s="15" t="n">
        <v>0.2821</v>
      </c>
      <c r="F25" s="27" t="n">
        <v>0.1964</v>
      </c>
      <c r="I25" s="14" t="inlineStr">
        <is>
          <t>Q1 2024 → Q1 2025</t>
        </is>
      </c>
      <c r="J25" s="11" t="n">
        <v>1632736.84</v>
      </c>
      <c r="K25" s="11" t="n">
        <v>3501942.1</v>
      </c>
      <c r="L25" s="11" t="n">
        <v>1869205.26</v>
      </c>
      <c r="M25" s="15" t="n">
        <v>1.1448</v>
      </c>
    </row>
    <row r="26">
      <c r="A26" s="20" t="inlineStr">
        <is>
          <t>Food &amp; Consumables</t>
        </is>
      </c>
      <c r="B26" s="17" t="n">
        <v>1404826.62</v>
      </c>
      <c r="C26" s="17" t="n">
        <v>1801068.5</v>
      </c>
      <c r="D26" s="17" t="n">
        <v>396241.88</v>
      </c>
      <c r="E26" s="21" t="n">
        <v>0.2821</v>
      </c>
      <c r="F26" s="28" t="n">
        <v>0.1859</v>
      </c>
      <c r="I26" s="20" t="inlineStr">
        <is>
          <t>Q2 2024 → Q2 2025</t>
        </is>
      </c>
      <c r="J26" s="17" t="n">
        <v>1797522.79</v>
      </c>
      <c r="K26" s="17" t="n">
        <v>2046371.48</v>
      </c>
      <c r="L26" s="17" t="n">
        <v>248848.69</v>
      </c>
      <c r="M26" s="21" t="n">
        <v>0.1384</v>
      </c>
    </row>
    <row r="27">
      <c r="A27" s="14" t="inlineStr">
        <is>
          <t>IT &amp; Electronics</t>
        </is>
      </c>
      <c r="B27" s="11" t="n">
        <v>2057716.12</v>
      </c>
      <c r="C27" s="11" t="n">
        <v>2638110.38</v>
      </c>
      <c r="D27" s="11" t="n">
        <v>580394.26</v>
      </c>
      <c r="E27" s="15" t="n">
        <v>0.2821</v>
      </c>
      <c r="F27" s="27" t="n">
        <v>0.2723</v>
      </c>
      <c r="I27" s="14" t="inlineStr">
        <is>
          <t>Q3 2024 → Q3 2025</t>
        </is>
      </c>
      <c r="J27" s="11" t="n">
        <v>2297412.7</v>
      </c>
      <c r="K27" s="11" t="n">
        <v>2061667.12</v>
      </c>
      <c r="L27" s="11" t="n">
        <v>-235745.58</v>
      </c>
      <c r="M27" s="29" t="n">
        <v>-0.1026</v>
      </c>
    </row>
    <row r="28">
      <c r="A28" s="20" t="inlineStr">
        <is>
          <t>Marketing &amp; Print</t>
        </is>
      </c>
      <c r="B28" s="17" t="n">
        <v>1439372.17</v>
      </c>
      <c r="C28" s="17" t="n">
        <v>1845357.88</v>
      </c>
      <c r="D28" s="17" t="n">
        <v>405985.71</v>
      </c>
      <c r="E28" s="21" t="n">
        <v>0.2821</v>
      </c>
      <c r="F28" s="28" t="n">
        <v>0.1905</v>
      </c>
      <c r="I28" s="20" t="inlineStr">
        <is>
          <t>Q4 2024 → Q4 2025</t>
        </is>
      </c>
      <c r="J28" s="17" t="n">
        <v>1828106.92</v>
      </c>
      <c r="K28" s="17" t="n">
        <v>2076962.74</v>
      </c>
      <c r="L28" s="17" t="n">
        <v>248855.82</v>
      </c>
      <c r="M28" s="21" t="n">
        <v>0.1361</v>
      </c>
    </row>
    <row r="29">
      <c r="A29" s="14" t="inlineStr">
        <is>
          <t>Office Supplies</t>
        </is>
      </c>
      <c r="B29" s="11" t="n">
        <v>1169845.37</v>
      </c>
      <c r="C29" s="11" t="n">
        <v>1499809.03</v>
      </c>
      <c r="D29" s="11" t="n">
        <v>329963.66</v>
      </c>
      <c r="E29" s="15" t="n">
        <v>0.2821</v>
      </c>
      <c r="F29" s="27" t="n">
        <v>0.1548</v>
      </c>
    </row>
  </sheetData>
  <mergeCells count="14">
    <mergeCell ref="A4:B4"/>
    <mergeCell ref="G4:H4"/>
    <mergeCell ref="I7:N7"/>
    <mergeCell ref="J4:K4"/>
    <mergeCell ref="J5:K5"/>
    <mergeCell ref="A2:N2"/>
    <mergeCell ref="D5:E5"/>
    <mergeCell ref="A5:B5"/>
    <mergeCell ref="G5:H5"/>
    <mergeCell ref="I23:N23"/>
    <mergeCell ref="D4:E4"/>
    <mergeCell ref="A23:G23"/>
    <mergeCell ref="A7:G7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 ht="30" customHeight="1">
      <c r="A1" s="30" t="inlineStr">
        <is>
          <t>PROCUREMENT FORECAST CHARTS — FY2024 ACTUAL vs FY2025 PROJECTED</t>
        </is>
      </c>
    </row>
    <row r="2">
      <c r="A2" t="inlineStr">
        <is>
          <t>Month</t>
        </is>
      </c>
      <c r="B2" t="inlineStr">
        <is>
          <t>FY2024 Actual</t>
        </is>
      </c>
      <c r="C2" t="inlineStr">
        <is>
          <t>FY2025 Projected</t>
        </is>
      </c>
      <c r="E2" t="inlineStr">
        <is>
          <t>Supplier</t>
        </is>
      </c>
      <c r="F2" t="inlineStr">
        <is>
          <t>FY2024</t>
        </is>
      </c>
      <c r="G2" t="inlineStr">
        <is>
          <t>FY2025</t>
        </is>
      </c>
      <c r="I2" t="inlineStr">
        <is>
          <t>Category</t>
        </is>
      </c>
      <c r="J2" t="inlineStr">
        <is>
          <t>FY2024</t>
        </is>
      </c>
      <c r="K2" t="inlineStr">
        <is>
          <t>FY2025</t>
        </is>
      </c>
      <c r="M2" t="inlineStr">
        <is>
          <t>Quarter</t>
        </is>
      </c>
      <c r="N2" t="inlineStr">
        <is>
          <t>FY2024</t>
        </is>
      </c>
      <c r="O2" t="inlineStr">
        <is>
          <t>FY2025</t>
        </is>
      </c>
    </row>
    <row r="3">
      <c r="A3" t="inlineStr">
        <is>
          <t>Jan 2024</t>
        </is>
      </c>
      <c r="B3" t="n">
        <v>899564.39</v>
      </c>
      <c r="C3" t="n">
        <v>1263672.27</v>
      </c>
      <c r="E3" t="inlineStr">
        <is>
          <t>Makro SA</t>
        </is>
      </c>
      <c r="F3" t="n">
        <v>506142.24</v>
      </c>
      <c r="G3" t="n">
        <v>648903.45</v>
      </c>
      <c r="I3" t="inlineStr">
        <is>
          <t>Facilities &amp; Maintenance</t>
        </is>
      </c>
      <c r="J3" t="n">
        <v>1484018.97</v>
      </c>
      <c r="K3" t="n">
        <v>1902597.65</v>
      </c>
      <c r="M3" t="inlineStr">
        <is>
          <t>Q1</t>
        </is>
      </c>
      <c r="N3" t="n">
        <v>1632736.84</v>
      </c>
      <c r="O3" t="n">
        <v>3501942.1</v>
      </c>
    </row>
    <row r="4">
      <c r="A4" t="inlineStr">
        <is>
          <t>Feb 2024</t>
        </is>
      </c>
      <c r="B4" t="n">
        <v>404393.48</v>
      </c>
      <c r="C4" t="n">
        <v>1191828.47</v>
      </c>
      <c r="E4" t="inlineStr">
        <is>
          <t>Bidvest Facilities</t>
        </is>
      </c>
      <c r="F4" t="n">
        <v>1042219.95</v>
      </c>
      <c r="G4" t="n">
        <v>1336185.9</v>
      </c>
      <c r="I4" t="inlineStr">
        <is>
          <t>Food &amp; Consumables</t>
        </is>
      </c>
      <c r="J4" t="n">
        <v>1404826.62</v>
      </c>
      <c r="K4" t="n">
        <v>1801068.5</v>
      </c>
      <c r="M4" t="inlineStr">
        <is>
          <t>Q2</t>
        </is>
      </c>
      <c r="N4" t="n">
        <v>1797522.79</v>
      </c>
      <c r="O4" t="n">
        <v>2046371.48</v>
      </c>
    </row>
    <row r="5">
      <c r="A5" t="inlineStr">
        <is>
          <t>Mar 2024</t>
        </is>
      </c>
      <c r="B5" t="n">
        <v>328778.97</v>
      </c>
      <c r="C5" t="n">
        <v>1046441.36</v>
      </c>
      <c r="E5" t="inlineStr">
        <is>
          <t>Incredible Connection</t>
        </is>
      </c>
      <c r="F5" t="n">
        <v>1472019.74</v>
      </c>
      <c r="G5" t="n">
        <v>1887213.94</v>
      </c>
      <c r="I5" t="inlineStr">
        <is>
          <t>IT &amp; Electronics</t>
        </is>
      </c>
      <c r="J5" t="n">
        <v>2057716.12</v>
      </c>
      <c r="K5" t="n">
        <v>2638110.38</v>
      </c>
      <c r="M5" t="inlineStr">
        <is>
          <t>Q3</t>
        </is>
      </c>
      <c r="N5" t="n">
        <v>2297412.7</v>
      </c>
      <c r="O5" t="n">
        <v>2061667.12</v>
      </c>
    </row>
    <row r="6">
      <c r="A6" t="inlineStr">
        <is>
          <t>Apr 2024</t>
        </is>
      </c>
      <c r="B6" t="n">
        <v>914056.46</v>
      </c>
      <c r="C6" t="n">
        <v>680424.3100000001</v>
      </c>
      <c r="E6" t="inlineStr">
        <is>
          <t>Pick n Pay Trade</t>
        </is>
      </c>
      <c r="F6" t="n">
        <v>928000.52</v>
      </c>
      <c r="G6" t="n">
        <v>1189750.02</v>
      </c>
      <c r="I6" t="inlineStr">
        <is>
          <t>Marketing &amp; Print</t>
        </is>
      </c>
      <c r="J6" t="n">
        <v>1439372.17</v>
      </c>
      <c r="K6" t="n">
        <v>1845357.88</v>
      </c>
      <c r="M6" t="inlineStr">
        <is>
          <t>Q4</t>
        </is>
      </c>
      <c r="N6" t="n">
        <v>1828106.92</v>
      </c>
      <c r="O6" t="n">
        <v>2076962.74</v>
      </c>
    </row>
    <row r="7">
      <c r="A7" t="inlineStr">
        <is>
          <t>May 2024</t>
        </is>
      </c>
      <c r="B7" t="n">
        <v>397663</v>
      </c>
      <c r="C7" t="n">
        <v>682123.83</v>
      </c>
      <c r="E7" t="inlineStr">
        <is>
          <t>Rand Merchant Print</t>
        </is>
      </c>
      <c r="F7" t="n">
        <v>961130.08</v>
      </c>
      <c r="G7" t="n">
        <v>1232224.03</v>
      </c>
      <c r="I7" t="inlineStr">
        <is>
          <t>Office Supplies</t>
        </is>
      </c>
      <c r="J7" t="n">
        <v>1169845.37</v>
      </c>
      <c r="K7" t="n">
        <v>1499809.03</v>
      </c>
    </row>
    <row r="8">
      <c r="A8" t="inlineStr">
        <is>
          <t>Jun 2024</t>
        </is>
      </c>
      <c r="B8" t="n">
        <v>485803.33</v>
      </c>
      <c r="C8" t="n">
        <v>683823.34</v>
      </c>
      <c r="E8" t="inlineStr">
        <is>
          <t>Builders Warehouse</t>
        </is>
      </c>
      <c r="F8" t="n">
        <v>441799.02</v>
      </c>
      <c r="G8" t="n">
        <v>566411.75</v>
      </c>
    </row>
    <row r="9">
      <c r="A9" t="inlineStr">
        <is>
          <t>Jul 2024</t>
        </is>
      </c>
      <c r="B9" t="n">
        <v>674749.39</v>
      </c>
      <c r="C9" t="n">
        <v>685522.86</v>
      </c>
      <c r="E9" t="inlineStr">
        <is>
          <t>Nashua Office</t>
        </is>
      </c>
      <c r="F9" t="n">
        <v>585696.38</v>
      </c>
      <c r="G9" t="n">
        <v>750896.4399999999</v>
      </c>
    </row>
    <row r="10">
      <c r="A10" t="inlineStr">
        <is>
          <t>Aug 2024</t>
        </is>
      </c>
      <c r="B10" t="n">
        <v>930968.08</v>
      </c>
      <c r="C10" t="n">
        <v>687222.37</v>
      </c>
      <c r="E10" t="inlineStr">
        <is>
          <t>Tiger Brands</t>
        </is>
      </c>
      <c r="F10" t="n">
        <v>476826.1</v>
      </c>
      <c r="G10" t="n">
        <v>611318.48</v>
      </c>
    </row>
    <row r="11">
      <c r="A11" t="inlineStr">
        <is>
          <t>Sep 2024</t>
        </is>
      </c>
      <c r="B11" t="n">
        <v>691695.23</v>
      </c>
      <c r="C11" t="n">
        <v>688921.89</v>
      </c>
      <c r="E11" t="inlineStr">
        <is>
          <t>Staples SA</t>
        </is>
      </c>
      <c r="F11" t="n">
        <v>663703.13</v>
      </c>
      <c r="G11" t="n">
        <v>850905.5699999999</v>
      </c>
    </row>
    <row r="12">
      <c r="A12" t="inlineStr">
        <is>
          <t>Oct 2024</t>
        </is>
      </c>
      <c r="B12" t="n">
        <v>828596.8</v>
      </c>
      <c r="C12" t="n">
        <v>690621.4</v>
      </c>
      <c r="E12" t="inlineStr">
        <is>
          <t>Digitec SA</t>
        </is>
      </c>
      <c r="F12" t="n">
        <v>478242.09</v>
      </c>
      <c r="G12" t="n">
        <v>613133.86</v>
      </c>
    </row>
    <row r="13">
      <c r="A13" t="inlineStr">
        <is>
          <t>Nov 2024</t>
        </is>
      </c>
      <c r="B13" t="n">
        <v>587460.11</v>
      </c>
      <c r="C13" t="n">
        <v>692320.91</v>
      </c>
    </row>
    <row r="14">
      <c r="A14" t="inlineStr">
        <is>
          <t>Dec 2024</t>
        </is>
      </c>
      <c r="B14" t="n">
        <v>412050.01</v>
      </c>
      <c r="C14" t="n">
        <v>694020.4300000001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30" t="inlineStr">
        <is>
          <t>FY2025 VARIANCE TRACKER — Projected vs Actual (Update Monthly)</t>
        </is>
      </c>
    </row>
    <row r="2" ht="18" customHeight="1">
      <c r="A2" s="2" t="inlineStr">
        <is>
          <t>Enter actual spend in column D as each month closes. Variance and status will update automatically.</t>
        </is>
      </c>
    </row>
    <row r="3">
      <c r="A3" s="10" t="inlineStr">
        <is>
          <t>Dec 2025</t>
        </is>
      </c>
      <c r="B3" s="11" t="n">
        <v>694020.4300000001</v>
      </c>
      <c r="C3" s="31" t="inlineStr">
        <is>
          <t>Actual Spend (R)</t>
        </is>
      </c>
      <c r="D3" s="11">
        <f>IF(C3="","",C3-B3)</f>
        <v/>
      </c>
      <c r="E3" s="27">
        <f>IF(C3="","",IF(B3&gt;0,(C3-B3)/B3,""))</f>
        <v/>
      </c>
      <c r="F3" s="10">
        <f>IF(C3="","Awaiting Actual",IF(D3&gt;0,"Over Budget",IF(D3&lt;0,"Under Budget","On Target")))</f>
        <v/>
      </c>
      <c r="G3" s="10" t="inlineStr"/>
    </row>
    <row r="4">
      <c r="A4" s="16" t="inlineStr">
        <is>
          <t>Jan 2025</t>
        </is>
      </c>
      <c r="B4" s="17" t="n">
        <v>1263672.27</v>
      </c>
      <c r="C4" s="31" t="n"/>
      <c r="D4" s="17">
        <f>IF(C4="","",C4-B4)</f>
        <v/>
      </c>
      <c r="E4" s="28">
        <f>IF(C4="","",IF(B4&gt;0,(C4-B4)/B4,""))</f>
        <v/>
      </c>
      <c r="F4" s="16">
        <f>IF(C4="","Awaiting Actual",IF(D4&gt;0,"Over Budget",IF(D4&lt;0,"Under Budget","On Target")))</f>
        <v/>
      </c>
      <c r="G4" s="20" t="inlineStr"/>
    </row>
    <row r="5">
      <c r="A5" s="10" t="inlineStr">
        <is>
          <t>Feb 2025</t>
        </is>
      </c>
      <c r="B5" s="11" t="n">
        <v>1191828.47</v>
      </c>
      <c r="C5" s="31" t="n"/>
      <c r="D5" s="11">
        <f>IF(C5="","",C5-B5)</f>
        <v/>
      </c>
      <c r="E5" s="27">
        <f>IF(C5="","",IF(B5&gt;0,(C5-B5)/B5,""))</f>
        <v/>
      </c>
      <c r="F5" s="10">
        <f>IF(C5="","Awaiting Actual",IF(D5&gt;0,"Over Budget",IF(D5&lt;0,"Under Budget","On Target")))</f>
        <v/>
      </c>
      <c r="G5" s="14" t="inlineStr"/>
    </row>
    <row r="6">
      <c r="A6" s="16" t="inlineStr">
        <is>
          <t>Mar 2025</t>
        </is>
      </c>
      <c r="B6" s="17" t="n">
        <v>1046441.36</v>
      </c>
      <c r="C6" s="31" t="n"/>
      <c r="D6" s="17">
        <f>IF(C6="","",C6-B6)</f>
        <v/>
      </c>
      <c r="E6" s="28">
        <f>IF(C6="","",IF(B6&gt;0,(C6-B6)/B6,""))</f>
        <v/>
      </c>
      <c r="F6" s="16">
        <f>IF(C6="","Awaiting Actual",IF(D6&gt;0,"Over Budget",IF(D6&lt;0,"Under Budget","On Target")))</f>
        <v/>
      </c>
      <c r="G6" s="20" t="inlineStr"/>
    </row>
    <row r="7">
      <c r="A7" s="10" t="inlineStr">
        <is>
          <t>Apr 2025</t>
        </is>
      </c>
      <c r="B7" s="11" t="n">
        <v>680424.3100000001</v>
      </c>
      <c r="C7" s="31" t="n"/>
      <c r="D7" s="11">
        <f>IF(C7="","",C7-B7)</f>
        <v/>
      </c>
      <c r="E7" s="27">
        <f>IF(C7="","",IF(B7&gt;0,(C7-B7)/B7,""))</f>
        <v/>
      </c>
      <c r="F7" s="10">
        <f>IF(C7="","Awaiting Actual",IF(D7&gt;0,"Over Budget",IF(D7&lt;0,"Under Budget","On Target")))</f>
        <v/>
      </c>
      <c r="G7" s="14" t="inlineStr"/>
    </row>
    <row r="8">
      <c r="A8" s="16" t="inlineStr">
        <is>
          <t>May 2025</t>
        </is>
      </c>
      <c r="B8" s="17" t="n">
        <v>682123.83</v>
      </c>
      <c r="C8" s="31" t="n"/>
      <c r="D8" s="17">
        <f>IF(C8="","",C8-B8)</f>
        <v/>
      </c>
      <c r="E8" s="28">
        <f>IF(C8="","",IF(B8&gt;0,(C8-B8)/B8,""))</f>
        <v/>
      </c>
      <c r="F8" s="16">
        <f>IF(C8="","Awaiting Actual",IF(D8&gt;0,"Over Budget",IF(D8&lt;0,"Under Budget","On Target")))</f>
        <v/>
      </c>
      <c r="G8" s="20" t="inlineStr"/>
    </row>
    <row r="9">
      <c r="A9" s="10" t="inlineStr">
        <is>
          <t>Jun 2025</t>
        </is>
      </c>
      <c r="B9" s="11" t="n">
        <v>683823.34</v>
      </c>
      <c r="C9" s="31" t="n"/>
      <c r="D9" s="11">
        <f>IF(C9="","",C9-B9)</f>
        <v/>
      </c>
      <c r="E9" s="27">
        <f>IF(C9="","",IF(B9&gt;0,(C9-B9)/B9,""))</f>
        <v/>
      </c>
      <c r="F9" s="10">
        <f>IF(C9="","Awaiting Actual",IF(D9&gt;0,"Over Budget",IF(D9&lt;0,"Under Budget","On Target")))</f>
        <v/>
      </c>
      <c r="G9" s="14" t="inlineStr"/>
    </row>
    <row r="10">
      <c r="A10" s="16" t="inlineStr">
        <is>
          <t>Jul 2025</t>
        </is>
      </c>
      <c r="B10" s="17" t="n">
        <v>685522.86</v>
      </c>
      <c r="C10" s="31" t="n"/>
      <c r="D10" s="17">
        <f>IF(C10="","",C10-B10)</f>
        <v/>
      </c>
      <c r="E10" s="28">
        <f>IF(C10="","",IF(B10&gt;0,(C10-B10)/B10,""))</f>
        <v/>
      </c>
      <c r="F10" s="16">
        <f>IF(C10="","Awaiting Actual",IF(D10&gt;0,"Over Budget",IF(D10&lt;0,"Under Budget","On Target")))</f>
        <v/>
      </c>
      <c r="G10" s="20" t="inlineStr"/>
    </row>
    <row r="11">
      <c r="A11" s="10" t="inlineStr">
        <is>
          <t>Aug 2025</t>
        </is>
      </c>
      <c r="B11" s="11" t="n">
        <v>687222.37</v>
      </c>
      <c r="C11" s="31" t="n"/>
      <c r="D11" s="11">
        <f>IF(C11="","",C11-B11)</f>
        <v/>
      </c>
      <c r="E11" s="27">
        <f>IF(C11="","",IF(B11&gt;0,(C11-B11)/B11,""))</f>
        <v/>
      </c>
      <c r="F11" s="10">
        <f>IF(C11="","Awaiting Actual",IF(D11&gt;0,"Over Budget",IF(D11&lt;0,"Under Budget","On Target")))</f>
        <v/>
      </c>
      <c r="G11" s="14" t="inlineStr"/>
    </row>
    <row r="12">
      <c r="A12" s="16" t="inlineStr">
        <is>
          <t>Sep 2025</t>
        </is>
      </c>
      <c r="B12" s="17" t="n">
        <v>688921.89</v>
      </c>
      <c r="C12" s="31" t="n"/>
      <c r="D12" s="17">
        <f>IF(C12="","",C12-B12)</f>
        <v/>
      </c>
      <c r="E12" s="28">
        <f>IF(C12="","",IF(B12&gt;0,(C12-B12)/B12,""))</f>
        <v/>
      </c>
      <c r="F12" s="16">
        <f>IF(C12="","Awaiting Actual",IF(D12&gt;0,"Over Budget",IF(D12&lt;0,"Under Budget","On Target")))</f>
        <v/>
      </c>
      <c r="G12" s="20" t="inlineStr"/>
    </row>
    <row r="13">
      <c r="A13" s="10" t="inlineStr">
        <is>
          <t>Oct 2025</t>
        </is>
      </c>
      <c r="B13" s="11" t="n">
        <v>690621.4</v>
      </c>
      <c r="C13" s="31" t="n"/>
      <c r="D13" s="11">
        <f>IF(C13="","",C13-B13)</f>
        <v/>
      </c>
      <c r="E13" s="27">
        <f>IF(C13="","",IF(B13&gt;0,(C13-B13)/B13,""))</f>
        <v/>
      </c>
      <c r="F13" s="10">
        <f>IF(C13="","Awaiting Actual",IF(D13&gt;0,"Over Budget",IF(D13&lt;0,"Under Budget","On Target")))</f>
        <v/>
      </c>
      <c r="G13" s="14" t="inlineStr"/>
    </row>
    <row r="14">
      <c r="A14" s="16" t="inlineStr">
        <is>
          <t>Nov 2025</t>
        </is>
      </c>
      <c r="B14" s="17" t="n">
        <v>692320.91</v>
      </c>
      <c r="C14" s="31" t="n"/>
      <c r="D14" s="17">
        <f>IF(C14="","",C14-B14)</f>
        <v/>
      </c>
      <c r="E14" s="28">
        <f>IF(C14="","",IF(B14&gt;0,(C14-B14)/B14,""))</f>
        <v/>
      </c>
      <c r="F14" s="16">
        <f>IF(C14="","Awaiting Actual",IF(D14&gt;0,"Over Budget",IF(D14&lt;0,"Under Budget","On Target")))</f>
        <v/>
      </c>
      <c r="G14" s="20" t="inlineStr"/>
    </row>
    <row r="16">
      <c r="A16" s="22" t="inlineStr">
        <is>
          <t>TOTAL</t>
        </is>
      </c>
      <c r="B16" s="23" t="n">
        <v>9686943.439999999</v>
      </c>
      <c r="C16" s="23">
        <f>SUM(C4:C15)</f>
        <v/>
      </c>
      <c r="D16" s="23">
        <f>IF(C16=0,"",C16-B16)</f>
        <v/>
      </c>
      <c r="E16" s="24">
        <f>IF(B16&gt;0,(C16-B16)/B16,"")</f>
        <v/>
      </c>
      <c r="F16" s="22" t="n"/>
    </row>
    <row r="18">
      <c r="A18" s="32" t="inlineStr">
        <is>
          <t>💡 TIP: Fill in column C (Actual Spend) at the end of each month. Variance and Status columns update automatically.</t>
        </is>
      </c>
    </row>
  </sheetData>
  <mergeCells count="3">
    <mergeCell ref="A18:G18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  <col width="8" customWidth="1" min="5" max="5"/>
    <col width="14" customWidth="1" min="6" max="6"/>
    <col width="14" customWidth="1" min="7" max="7"/>
    <col width="12" customWidth="1" min="8" max="8"/>
    <col width="38" customWidth="1" min="9" max="9"/>
    <col width="14" customWidth="1" min="10" max="10"/>
  </cols>
  <sheetData>
    <row r="1" ht="28" customHeight="1">
      <c r="A1" s="33" t="inlineStr">
        <is>
          <t>ROLLOVER POs INTO FY2025 — Pending + Delayed Cancelled (Q3/Q4 2024)</t>
        </is>
      </c>
    </row>
    <row r="2">
      <c r="A2" s="34" t="inlineStr">
        <is>
          <t>Total Rollover POs: 27  |  Total Rollover Value: R1,470,866  |  Spread across Q1 2025</t>
        </is>
      </c>
    </row>
    <row r="3">
      <c r="A3" s="9" t="inlineStr">
        <is>
          <t>PO Number</t>
        </is>
      </c>
      <c r="B3" s="9" t="inlineStr">
        <is>
          <t>Original Order Date</t>
        </is>
      </c>
      <c r="C3" s="9" t="inlineStr">
        <is>
          <t>Supplier</t>
        </is>
      </c>
      <c r="D3" s="9" t="inlineStr">
        <is>
          <t>Category</t>
        </is>
      </c>
      <c r="E3" s="9" t="inlineStr">
        <is>
          <t>Qty</t>
        </is>
      </c>
      <c r="F3" s="9" t="inlineStr">
        <is>
          <t>Unit Price (R)</t>
        </is>
      </c>
      <c r="G3" s="9" t="inlineStr">
        <is>
          <t>Total Value (R)</t>
        </is>
      </c>
      <c r="H3" s="9" t="inlineStr">
        <is>
          <t>Original Status</t>
        </is>
      </c>
      <c r="I3" s="9" t="inlineStr">
        <is>
          <t>Rollover Reason</t>
        </is>
      </c>
      <c r="J3" s="9" t="inlineStr">
        <is>
          <t>FY2025 Target Q</t>
        </is>
      </c>
    </row>
    <row r="4">
      <c r="A4" s="35" t="inlineStr">
        <is>
          <t>PO-10002</t>
        </is>
      </c>
      <c r="B4" s="36" t="n">
        <v>45571</v>
      </c>
      <c r="C4" s="35" t="inlineStr">
        <is>
          <t>Bidvest Facilities</t>
        </is>
      </c>
      <c r="D4" s="35" t="inlineStr">
        <is>
          <t>Facilities &amp; Maintenance</t>
        </is>
      </c>
      <c r="E4" s="37" t="n">
        <v>44</v>
      </c>
      <c r="F4" s="38" t="n">
        <v>3345.97</v>
      </c>
      <c r="G4" s="38" t="n">
        <v>147222.68</v>
      </c>
      <c r="H4" s="39" t="inlineStr">
        <is>
          <t>Pending</t>
        </is>
      </c>
      <c r="I4" s="40" t="inlineStr">
        <is>
          <t>Pending — not fulfilled in FY2024</t>
        </is>
      </c>
      <c r="J4" s="35" t="inlineStr">
        <is>
          <t>Q1 2025</t>
        </is>
      </c>
    </row>
    <row r="5">
      <c r="A5" s="41" t="inlineStr">
        <is>
          <t>PO-10003</t>
        </is>
      </c>
      <c r="B5" s="42" t="n">
        <v>45403</v>
      </c>
      <c r="C5" s="41" t="inlineStr">
        <is>
          <t>Nashua Office</t>
        </is>
      </c>
      <c r="D5" s="41" t="inlineStr">
        <is>
          <t>IT &amp; Electronics</t>
        </is>
      </c>
      <c r="E5" s="43" t="n">
        <v>3</v>
      </c>
      <c r="F5" s="44" t="n">
        <v>182.6</v>
      </c>
      <c r="G5" s="44" t="n">
        <v>547.8</v>
      </c>
      <c r="H5" s="45" t="inlineStr">
        <is>
          <t>Pending</t>
        </is>
      </c>
      <c r="I5" s="46" t="inlineStr">
        <is>
          <t>Pending — not fulfilled in FY2024</t>
        </is>
      </c>
      <c r="J5" s="41" t="inlineStr">
        <is>
          <t>Q1 2025</t>
        </is>
      </c>
    </row>
    <row r="6">
      <c r="A6" s="35" t="inlineStr">
        <is>
          <t>PO-10008</t>
        </is>
      </c>
      <c r="B6" s="36" t="n">
        <v>45485</v>
      </c>
      <c r="C6" s="35" t="inlineStr">
        <is>
          <t>Tiger Brands</t>
        </is>
      </c>
      <c r="D6" s="35" t="inlineStr">
        <is>
          <t>Food &amp; Consumables</t>
        </is>
      </c>
      <c r="E6" s="37" t="n">
        <v>35</v>
      </c>
      <c r="F6" s="38" t="n">
        <v>605.48</v>
      </c>
      <c r="G6" s="38" t="n">
        <v>21191.8</v>
      </c>
      <c r="H6" s="39" t="inlineStr">
        <is>
          <t>Pending</t>
        </is>
      </c>
      <c r="I6" s="40" t="inlineStr">
        <is>
          <t>Pending — not fulfilled in FY2024</t>
        </is>
      </c>
      <c r="J6" s="35" t="inlineStr">
        <is>
          <t>Q1 2025</t>
        </is>
      </c>
    </row>
    <row r="7">
      <c r="A7" s="41" t="inlineStr">
        <is>
          <t>PO-10012</t>
        </is>
      </c>
      <c r="B7" s="42" t="n">
        <v>45428</v>
      </c>
      <c r="C7" s="41" t="inlineStr">
        <is>
          <t>Builders Warehouse</t>
        </is>
      </c>
      <c r="D7" s="41" t="inlineStr">
        <is>
          <t>Facilities &amp; Maintenance</t>
        </is>
      </c>
      <c r="E7" s="43" t="n">
        <v>23</v>
      </c>
      <c r="F7" s="44" t="n">
        <v>982.3099999999999</v>
      </c>
      <c r="G7" s="44" t="n">
        <v>22593.13</v>
      </c>
      <c r="H7" s="45" t="inlineStr">
        <is>
          <t>Pending</t>
        </is>
      </c>
      <c r="I7" s="46" t="inlineStr">
        <is>
          <t>Pending — not fulfilled in FY2024</t>
        </is>
      </c>
      <c r="J7" s="41" t="inlineStr">
        <is>
          <t>Q1 2025</t>
        </is>
      </c>
    </row>
    <row r="8">
      <c r="A8" s="35" t="inlineStr">
        <is>
          <t>PO-10024</t>
        </is>
      </c>
      <c r="B8" s="36" t="n">
        <v>45293</v>
      </c>
      <c r="C8" s="35" t="inlineStr">
        <is>
          <t>Rand Merchant Print</t>
        </is>
      </c>
      <c r="D8" s="35" t="inlineStr">
        <is>
          <t>Marketing &amp; Print</t>
        </is>
      </c>
      <c r="E8" s="37" t="n">
        <v>28</v>
      </c>
      <c r="F8" s="38" t="n">
        <v>753.8</v>
      </c>
      <c r="G8" s="38" t="n">
        <v>21106.4</v>
      </c>
      <c r="H8" s="39" t="inlineStr">
        <is>
          <t>Pending</t>
        </is>
      </c>
      <c r="I8" s="40" t="inlineStr">
        <is>
          <t>Pending — not fulfilled in FY2024</t>
        </is>
      </c>
      <c r="J8" s="35" t="inlineStr">
        <is>
          <t>Q1 2025</t>
        </is>
      </c>
    </row>
    <row r="9">
      <c r="A9" s="41" t="inlineStr">
        <is>
          <t>PO-10026</t>
        </is>
      </c>
      <c r="B9" s="42" t="n">
        <v>45483</v>
      </c>
      <c r="C9" s="41" t="inlineStr">
        <is>
          <t>Staples SA</t>
        </is>
      </c>
      <c r="D9" s="41" t="inlineStr">
        <is>
          <t>Office Supplies</t>
        </is>
      </c>
      <c r="E9" s="43" t="n">
        <v>39</v>
      </c>
      <c r="F9" s="44" t="n">
        <v>935.15</v>
      </c>
      <c r="G9" s="44" t="n">
        <v>36470.85</v>
      </c>
      <c r="H9" s="45" t="inlineStr">
        <is>
          <t>Pending</t>
        </is>
      </c>
      <c r="I9" s="46" t="inlineStr">
        <is>
          <t>Pending — not fulfilled in FY2024</t>
        </is>
      </c>
      <c r="J9" s="41" t="inlineStr">
        <is>
          <t>Q1 2025</t>
        </is>
      </c>
    </row>
    <row r="10">
      <c r="A10" s="35" t="inlineStr">
        <is>
          <t>PO-10042</t>
        </is>
      </c>
      <c r="B10" s="36" t="n">
        <v>45330</v>
      </c>
      <c r="C10" s="35" t="inlineStr">
        <is>
          <t>Rand Merchant Print</t>
        </is>
      </c>
      <c r="D10" s="35" t="inlineStr">
        <is>
          <t>Marketing &amp; Print</t>
        </is>
      </c>
      <c r="E10" s="37" t="n">
        <v>30</v>
      </c>
      <c r="F10" s="38" t="n">
        <v>1161.64</v>
      </c>
      <c r="G10" s="38" t="n">
        <v>34849.2</v>
      </c>
      <c r="H10" s="39" t="inlineStr">
        <is>
          <t>Pending</t>
        </is>
      </c>
      <c r="I10" s="40" t="inlineStr">
        <is>
          <t>Pending — not fulfilled in FY2024</t>
        </is>
      </c>
      <c r="J10" s="35" t="inlineStr">
        <is>
          <t>Q1 2025</t>
        </is>
      </c>
    </row>
    <row r="11">
      <c r="A11" s="41" t="inlineStr">
        <is>
          <t>PO-10048</t>
        </is>
      </c>
      <c r="B11" s="42" t="n">
        <v>45321</v>
      </c>
      <c r="C11" s="41" t="inlineStr">
        <is>
          <t>Staples SA</t>
        </is>
      </c>
      <c r="D11" s="41" t="inlineStr">
        <is>
          <t>Office Supplies</t>
        </is>
      </c>
      <c r="E11" s="43" t="n">
        <v>4</v>
      </c>
      <c r="F11" s="44" t="n">
        <v>3378.49</v>
      </c>
      <c r="G11" s="44" t="n">
        <v>13513.96</v>
      </c>
      <c r="H11" s="45" t="inlineStr">
        <is>
          <t>Pending</t>
        </is>
      </c>
      <c r="I11" s="46" t="inlineStr">
        <is>
          <t>Pending — not fulfilled in FY2024</t>
        </is>
      </c>
      <c r="J11" s="41" t="inlineStr">
        <is>
          <t>Q1 2025</t>
        </is>
      </c>
    </row>
    <row r="12">
      <c r="A12" s="35" t="inlineStr">
        <is>
          <t>PO-10051</t>
        </is>
      </c>
      <c r="B12" s="36" t="n">
        <v>45583</v>
      </c>
      <c r="C12" s="35" t="inlineStr">
        <is>
          <t>Pick n Pay Trade</t>
        </is>
      </c>
      <c r="D12" s="35" t="inlineStr">
        <is>
          <t>Food &amp; Consumables</t>
        </is>
      </c>
      <c r="E12" s="37" t="n">
        <v>26</v>
      </c>
      <c r="F12" s="38" t="n">
        <v>583.5</v>
      </c>
      <c r="G12" s="38" t="n">
        <v>15171</v>
      </c>
      <c r="H12" s="39" t="inlineStr">
        <is>
          <t>Pending</t>
        </is>
      </c>
      <c r="I12" s="40" t="inlineStr">
        <is>
          <t>Pending — not fulfilled in FY2024</t>
        </is>
      </c>
      <c r="J12" s="35" t="inlineStr">
        <is>
          <t>Q1 2025</t>
        </is>
      </c>
    </row>
    <row r="13">
      <c r="A13" s="41" t="inlineStr">
        <is>
          <t>PO-10052</t>
        </is>
      </c>
      <c r="B13" s="42" t="n">
        <v>45506</v>
      </c>
      <c r="C13" s="41" t="inlineStr">
        <is>
          <t>Digitec SA</t>
        </is>
      </c>
      <c r="D13" s="41" t="inlineStr">
        <is>
          <t>Marketing &amp; Print</t>
        </is>
      </c>
      <c r="E13" s="43" t="n">
        <v>3</v>
      </c>
      <c r="F13" s="44" t="n">
        <v>2806.25</v>
      </c>
      <c r="G13" s="44" t="n">
        <v>8418.75</v>
      </c>
      <c r="H13" s="45" t="inlineStr">
        <is>
          <t>Pending</t>
        </is>
      </c>
      <c r="I13" s="46" t="inlineStr">
        <is>
          <t>Pending — not fulfilled in FY2024</t>
        </is>
      </c>
      <c r="J13" s="41" t="inlineStr">
        <is>
          <t>Q1 2025</t>
        </is>
      </c>
    </row>
    <row r="14">
      <c r="A14" s="35" t="inlineStr">
        <is>
          <t>PO-10055</t>
        </is>
      </c>
      <c r="B14" s="36" t="n">
        <v>45296</v>
      </c>
      <c r="C14" s="35" t="inlineStr">
        <is>
          <t>Builders Warehouse</t>
        </is>
      </c>
      <c r="D14" s="35" t="inlineStr">
        <is>
          <t>Facilities &amp; Maintenance</t>
        </is>
      </c>
      <c r="E14" s="37" t="n">
        <v>49</v>
      </c>
      <c r="F14" s="38" t="n">
        <v>4214.02</v>
      </c>
      <c r="G14" s="38" t="n">
        <v>206486.98</v>
      </c>
      <c r="H14" s="39" t="inlineStr">
        <is>
          <t>Pending</t>
        </is>
      </c>
      <c r="I14" s="40" t="inlineStr">
        <is>
          <t>Pending — not fulfilled in FY2024</t>
        </is>
      </c>
      <c r="J14" s="35" t="inlineStr">
        <is>
          <t>Q1 2025</t>
        </is>
      </c>
    </row>
    <row r="15">
      <c r="A15" s="41" t="inlineStr">
        <is>
          <t>PO-10058</t>
        </is>
      </c>
      <c r="B15" s="42" t="n">
        <v>45652</v>
      </c>
      <c r="C15" s="41" t="inlineStr">
        <is>
          <t>Incredible Connection</t>
        </is>
      </c>
      <c r="D15" s="41" t="inlineStr">
        <is>
          <t>IT &amp; Electronics</t>
        </is>
      </c>
      <c r="E15" s="43" t="n">
        <v>29</v>
      </c>
      <c r="F15" s="44" t="n">
        <v>3760.17</v>
      </c>
      <c r="G15" s="44" t="n">
        <v>109044.93</v>
      </c>
      <c r="H15" s="45" t="inlineStr">
        <is>
          <t>Pending</t>
        </is>
      </c>
      <c r="I15" s="46" t="inlineStr">
        <is>
          <t>Pending — not fulfilled in FY2024</t>
        </is>
      </c>
      <c r="J15" s="41" t="inlineStr">
        <is>
          <t>Q1 2025</t>
        </is>
      </c>
    </row>
    <row r="16">
      <c r="A16" s="35" t="inlineStr">
        <is>
          <t>PO-10064</t>
        </is>
      </c>
      <c r="B16" s="36" t="n">
        <v>45574</v>
      </c>
      <c r="C16" s="35" t="inlineStr">
        <is>
          <t>Rand Merchant Print</t>
        </is>
      </c>
      <c r="D16" s="35" t="inlineStr">
        <is>
          <t>Marketing &amp; Print</t>
        </is>
      </c>
      <c r="E16" s="37" t="n">
        <v>11</v>
      </c>
      <c r="F16" s="38" t="n">
        <v>3348.48</v>
      </c>
      <c r="G16" s="38" t="n">
        <v>36833.28</v>
      </c>
      <c r="H16" s="39" t="inlineStr">
        <is>
          <t>Pending</t>
        </is>
      </c>
      <c r="I16" s="40" t="inlineStr">
        <is>
          <t>Pending — not fulfilled in FY2024</t>
        </is>
      </c>
      <c r="J16" s="35" t="inlineStr">
        <is>
          <t>Q1 2025</t>
        </is>
      </c>
    </row>
    <row r="17">
      <c r="A17" s="41" t="inlineStr">
        <is>
          <t>PO-10065</t>
        </is>
      </c>
      <c r="B17" s="42" t="n">
        <v>45645</v>
      </c>
      <c r="C17" s="41" t="inlineStr">
        <is>
          <t>Makro SA</t>
        </is>
      </c>
      <c r="D17" s="41" t="inlineStr">
        <is>
          <t>Office Supplies</t>
        </is>
      </c>
      <c r="E17" s="43" t="n">
        <v>8</v>
      </c>
      <c r="F17" s="44" t="n">
        <v>384.84</v>
      </c>
      <c r="G17" s="44" t="n">
        <v>3078.72</v>
      </c>
      <c r="H17" s="45" t="inlineStr">
        <is>
          <t>Pending</t>
        </is>
      </c>
      <c r="I17" s="46" t="inlineStr">
        <is>
          <t>Pending — not fulfilled in FY2024</t>
        </is>
      </c>
      <c r="J17" s="41" t="inlineStr">
        <is>
          <t>Q1 2025</t>
        </is>
      </c>
    </row>
    <row r="18">
      <c r="A18" s="35" t="inlineStr">
        <is>
          <t>PO-10068</t>
        </is>
      </c>
      <c r="B18" s="36" t="n">
        <v>45578</v>
      </c>
      <c r="C18" s="35" t="inlineStr">
        <is>
          <t>Pick n Pay Trade</t>
        </is>
      </c>
      <c r="D18" s="35" t="inlineStr">
        <is>
          <t>Food &amp; Consumables</t>
        </is>
      </c>
      <c r="E18" s="37" t="n">
        <v>43</v>
      </c>
      <c r="F18" s="38" t="n">
        <v>507.43</v>
      </c>
      <c r="G18" s="38" t="n">
        <v>21819.49</v>
      </c>
      <c r="H18" s="39" t="inlineStr">
        <is>
          <t>Pending</t>
        </is>
      </c>
      <c r="I18" s="40" t="inlineStr">
        <is>
          <t>Pending — not fulfilled in FY2024</t>
        </is>
      </c>
      <c r="J18" s="35" t="inlineStr">
        <is>
          <t>Q1 2025</t>
        </is>
      </c>
    </row>
    <row r="19">
      <c r="A19" s="41" t="inlineStr">
        <is>
          <t>PO-10076</t>
        </is>
      </c>
      <c r="B19" s="42" t="n">
        <v>45452</v>
      </c>
      <c r="C19" s="41" t="inlineStr">
        <is>
          <t>Digitec SA</t>
        </is>
      </c>
      <c r="D19" s="41" t="inlineStr">
        <is>
          <t>Marketing &amp; Print</t>
        </is>
      </c>
      <c r="E19" s="43" t="n">
        <v>28</v>
      </c>
      <c r="F19" s="44" t="n">
        <v>1588.31</v>
      </c>
      <c r="G19" s="44" t="n">
        <v>44472.68</v>
      </c>
      <c r="H19" s="45" t="inlineStr">
        <is>
          <t>Pending</t>
        </is>
      </c>
      <c r="I19" s="46" t="inlineStr">
        <is>
          <t>Pending — not fulfilled in FY2024</t>
        </is>
      </c>
      <c r="J19" s="41" t="inlineStr">
        <is>
          <t>Q1 2025</t>
        </is>
      </c>
    </row>
    <row r="20">
      <c r="A20" s="35" t="inlineStr">
        <is>
          <t>PO-10079</t>
        </is>
      </c>
      <c r="B20" s="36" t="n">
        <v>45632</v>
      </c>
      <c r="C20" s="35" t="inlineStr">
        <is>
          <t>Pick n Pay Trade</t>
        </is>
      </c>
      <c r="D20" s="35" t="inlineStr">
        <is>
          <t>Food &amp; Consumables</t>
        </is>
      </c>
      <c r="E20" s="37" t="n">
        <v>24</v>
      </c>
      <c r="F20" s="38" t="n">
        <v>1969.27</v>
      </c>
      <c r="G20" s="38" t="n">
        <v>47262.48</v>
      </c>
      <c r="H20" s="39" t="inlineStr">
        <is>
          <t>Pending</t>
        </is>
      </c>
      <c r="I20" s="40" t="inlineStr">
        <is>
          <t>Pending — not fulfilled in FY2024</t>
        </is>
      </c>
      <c r="J20" s="35" t="inlineStr">
        <is>
          <t>Q1 2025</t>
        </is>
      </c>
    </row>
    <row r="21">
      <c r="A21" s="41" t="inlineStr">
        <is>
          <t>PO-10082</t>
        </is>
      </c>
      <c r="B21" s="42" t="n">
        <v>45486</v>
      </c>
      <c r="C21" s="41" t="inlineStr">
        <is>
          <t>Pick n Pay Trade</t>
        </is>
      </c>
      <c r="D21" s="41" t="inlineStr">
        <is>
          <t>Food &amp; Consumables</t>
        </is>
      </c>
      <c r="E21" s="43" t="n">
        <v>27</v>
      </c>
      <c r="F21" s="44" t="n">
        <v>3008.94</v>
      </c>
      <c r="G21" s="44" t="n">
        <v>81241.38</v>
      </c>
      <c r="H21" s="45" t="inlineStr">
        <is>
          <t>Pending</t>
        </is>
      </c>
      <c r="I21" s="46" t="inlineStr">
        <is>
          <t>Pending — not fulfilled in FY2024</t>
        </is>
      </c>
      <c r="J21" s="41" t="inlineStr">
        <is>
          <t>Q1 2025</t>
        </is>
      </c>
    </row>
    <row r="22">
      <c r="A22" s="35" t="inlineStr">
        <is>
          <t>PO-10102</t>
        </is>
      </c>
      <c r="B22" s="36" t="n">
        <v>45491</v>
      </c>
      <c r="C22" s="35" t="inlineStr">
        <is>
          <t>Makro SA</t>
        </is>
      </c>
      <c r="D22" s="35" t="inlineStr">
        <is>
          <t>Office Supplies</t>
        </is>
      </c>
      <c r="E22" s="37" t="n">
        <v>23</v>
      </c>
      <c r="F22" s="38" t="n">
        <v>1378.83</v>
      </c>
      <c r="G22" s="38" t="n">
        <v>31713.09</v>
      </c>
      <c r="H22" s="39" t="inlineStr">
        <is>
          <t>Pending</t>
        </is>
      </c>
      <c r="I22" s="40" t="inlineStr">
        <is>
          <t>Pending — not fulfilled in FY2024</t>
        </is>
      </c>
      <c r="J22" s="35" t="inlineStr">
        <is>
          <t>Q1 2025</t>
        </is>
      </c>
    </row>
    <row r="23">
      <c r="A23" s="41" t="inlineStr">
        <is>
          <t>PO-10116</t>
        </is>
      </c>
      <c r="B23" s="42" t="n">
        <v>45393</v>
      </c>
      <c r="C23" s="41" t="inlineStr">
        <is>
          <t>Nashua Office</t>
        </is>
      </c>
      <c r="D23" s="41" t="inlineStr">
        <is>
          <t>IT &amp; Electronics</t>
        </is>
      </c>
      <c r="E23" s="43" t="n">
        <v>26</v>
      </c>
      <c r="F23" s="44" t="n">
        <v>4239.54</v>
      </c>
      <c r="G23" s="44" t="n">
        <v>110228.04</v>
      </c>
      <c r="H23" s="45" t="inlineStr">
        <is>
          <t>Pending</t>
        </is>
      </c>
      <c r="I23" s="46" t="inlineStr">
        <is>
          <t>Pending — not fulfilled in FY2024</t>
        </is>
      </c>
      <c r="J23" s="41" t="inlineStr">
        <is>
          <t>Q1 2025</t>
        </is>
      </c>
    </row>
    <row r="24">
      <c r="A24" s="35" t="inlineStr">
        <is>
          <t>PO-10117</t>
        </is>
      </c>
      <c r="B24" s="36" t="n">
        <v>45446</v>
      </c>
      <c r="C24" s="35" t="inlineStr">
        <is>
          <t>Pick n Pay Trade</t>
        </is>
      </c>
      <c r="D24" s="35" t="inlineStr">
        <is>
          <t>Food &amp; Consumables</t>
        </is>
      </c>
      <c r="E24" s="37" t="n">
        <v>7</v>
      </c>
      <c r="F24" s="38" t="n">
        <v>3152.51</v>
      </c>
      <c r="G24" s="38" t="n">
        <v>22067.57</v>
      </c>
      <c r="H24" s="39" t="inlineStr">
        <is>
          <t>Pending</t>
        </is>
      </c>
      <c r="I24" s="40" t="inlineStr">
        <is>
          <t>Pending — not fulfilled in FY2024</t>
        </is>
      </c>
      <c r="J24" s="35" t="inlineStr">
        <is>
          <t>Q1 2025</t>
        </is>
      </c>
    </row>
    <row r="25">
      <c r="A25" s="41" t="inlineStr">
        <is>
          <t>PO-10022</t>
        </is>
      </c>
      <c r="B25" s="42" t="n">
        <v>45575</v>
      </c>
      <c r="C25" s="41" t="inlineStr">
        <is>
          <t>Digitec SA</t>
        </is>
      </c>
      <c r="D25" s="41" t="inlineStr">
        <is>
          <t>Marketing &amp; Print</t>
        </is>
      </c>
      <c r="E25" s="43" t="n">
        <v>30</v>
      </c>
      <c r="F25" s="44" t="n">
        <v>2404.56</v>
      </c>
      <c r="G25" s="44" t="n">
        <v>72136.8</v>
      </c>
      <c r="H25" s="47" t="inlineStr">
        <is>
          <t>Cancelled</t>
        </is>
      </c>
      <c r="I25" s="46" t="inlineStr">
        <is>
          <t>Delayed Cancellation (Q3/Q4) — pushed to FY2025</t>
        </is>
      </c>
      <c r="J25" s="41" t="inlineStr">
        <is>
          <t>Q1 2025</t>
        </is>
      </c>
    </row>
    <row r="26">
      <c r="A26" s="35" t="inlineStr">
        <is>
          <t>PO-10025</t>
        </is>
      </c>
      <c r="B26" s="36" t="n">
        <v>45612</v>
      </c>
      <c r="C26" s="35" t="inlineStr">
        <is>
          <t>Incredible Connection</t>
        </is>
      </c>
      <c r="D26" s="35" t="inlineStr">
        <is>
          <t>IT &amp; Electronics</t>
        </is>
      </c>
      <c r="E26" s="37" t="n">
        <v>33</v>
      </c>
      <c r="F26" s="38" t="n">
        <v>4111.19</v>
      </c>
      <c r="G26" s="38" t="n">
        <v>135669.27</v>
      </c>
      <c r="H26" s="48" t="inlineStr">
        <is>
          <t>Cancelled</t>
        </is>
      </c>
      <c r="I26" s="40" t="inlineStr">
        <is>
          <t>Delayed Cancellation (Q3/Q4) — pushed to FY2025</t>
        </is>
      </c>
      <c r="J26" s="35" t="inlineStr">
        <is>
          <t>Q1 2025</t>
        </is>
      </c>
    </row>
    <row r="27">
      <c r="A27" s="41" t="inlineStr">
        <is>
          <t>PO-10039</t>
        </is>
      </c>
      <c r="B27" s="42" t="n">
        <v>45531</v>
      </c>
      <c r="C27" s="41" t="inlineStr">
        <is>
          <t>Nashua Office</t>
        </is>
      </c>
      <c r="D27" s="41" t="inlineStr">
        <is>
          <t>IT &amp; Electronics</t>
        </is>
      </c>
      <c r="E27" s="43" t="n">
        <v>23</v>
      </c>
      <c r="F27" s="44" t="n">
        <v>1934.92</v>
      </c>
      <c r="G27" s="44" t="n">
        <v>44503.16</v>
      </c>
      <c r="H27" s="47" t="inlineStr">
        <is>
          <t>Cancelled</t>
        </is>
      </c>
      <c r="I27" s="46" t="inlineStr">
        <is>
          <t>Delayed Cancellation (Q3/Q4) — pushed to FY2025</t>
        </is>
      </c>
      <c r="J27" s="41" t="inlineStr">
        <is>
          <t>Q1 2025</t>
        </is>
      </c>
    </row>
    <row r="28">
      <c r="A28" s="35" t="inlineStr">
        <is>
          <t>PO-10059</t>
        </is>
      </c>
      <c r="B28" s="36" t="n">
        <v>45575</v>
      </c>
      <c r="C28" s="35" t="inlineStr">
        <is>
          <t>Staples SA</t>
        </is>
      </c>
      <c r="D28" s="35" t="inlineStr">
        <is>
          <t>Office Supplies</t>
        </is>
      </c>
      <c r="E28" s="37" t="n">
        <v>1</v>
      </c>
      <c r="F28" s="38" t="n">
        <v>3021.99</v>
      </c>
      <c r="G28" s="38" t="n">
        <v>3021.99</v>
      </c>
      <c r="H28" s="48" t="inlineStr">
        <is>
          <t>Cancelled</t>
        </is>
      </c>
      <c r="I28" s="40" t="inlineStr">
        <is>
          <t>Delayed Cancellation (Q3/Q4) — pushed to FY2025</t>
        </is>
      </c>
      <c r="J28" s="35" t="inlineStr">
        <is>
          <t>Q1 2025</t>
        </is>
      </c>
    </row>
    <row r="29">
      <c r="A29" s="41" t="inlineStr">
        <is>
          <t>PO-10078</t>
        </is>
      </c>
      <c r="B29" s="42" t="n">
        <v>45558</v>
      </c>
      <c r="C29" s="41" t="inlineStr">
        <is>
          <t>Makro SA</t>
        </is>
      </c>
      <c r="D29" s="41" t="inlineStr">
        <is>
          <t>Office Supplies</t>
        </is>
      </c>
      <c r="E29" s="43" t="n">
        <v>46</v>
      </c>
      <c r="F29" s="44" t="n">
        <v>1990.46</v>
      </c>
      <c r="G29" s="44" t="n">
        <v>91561.16</v>
      </c>
      <c r="H29" s="47" t="inlineStr">
        <is>
          <t>Cancelled</t>
        </is>
      </c>
      <c r="I29" s="46" t="inlineStr">
        <is>
          <t>Delayed Cancellation (Q3/Q4) — pushed to FY2025</t>
        </is>
      </c>
      <c r="J29" s="41" t="inlineStr">
        <is>
          <t>Q1 2025</t>
        </is>
      </c>
    </row>
    <row r="30">
      <c r="A30" s="35" t="inlineStr">
        <is>
          <t>PO-10085</t>
        </is>
      </c>
      <c r="B30" s="36" t="n">
        <v>45553</v>
      </c>
      <c r="C30" s="35" t="inlineStr">
        <is>
          <t>Tiger Brands</t>
        </is>
      </c>
      <c r="D30" s="35" t="inlineStr">
        <is>
          <t>Food &amp; Consumables</t>
        </is>
      </c>
      <c r="E30" s="37" t="n">
        <v>29</v>
      </c>
      <c r="F30" s="38" t="n">
        <v>3056.54</v>
      </c>
      <c r="G30" s="38" t="n">
        <v>88639.66</v>
      </c>
      <c r="H30" s="48" t="inlineStr">
        <is>
          <t>Cancelled</t>
        </is>
      </c>
      <c r="I30" s="40" t="inlineStr">
        <is>
          <t>Delayed Cancellation (Q3/Q4) — pushed to FY2025</t>
        </is>
      </c>
      <c r="J30" s="35" t="inlineStr">
        <is>
          <t>Q1 2025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2026-04-11T14:46:17Z</dcterms:created>
  <dcterms:modified xmlns:dcterms="http://purl.org/dc/terms/" xmlns:xsi="http://www.w3.org/2001/XMLSchema-instance" xsi:type="dcterms:W3CDTF">2026-04-11T14:46:17Z</dcterms:modified>
</cp:coreProperties>
</file>
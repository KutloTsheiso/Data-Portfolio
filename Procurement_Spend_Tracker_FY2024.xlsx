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'PO Data'!$A$1:$K$121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R#,##0.00"/>
    <numFmt numFmtId="167" formatCode="R#,##0"/>
    <numFmt numFmtId="168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C3E50"/>
      <sz val="9.5"/>
    </font>
    <font>
      <name val="Arial"/>
      <b val="1"/>
      <color rgb="0027AE60"/>
      <sz val="9.5"/>
    </font>
    <font>
      <name val="Arial"/>
      <b val="1"/>
      <color rgb="00F5A623"/>
      <sz val="9.5"/>
    </font>
    <font>
      <name val="Arial"/>
      <b val="1"/>
      <color rgb="00E74C3C"/>
      <sz val="9.5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color rgb="006B7A8D"/>
      <sz val="9"/>
    </font>
    <font>
      <name val="Arial"/>
      <b val="1"/>
      <color rgb="002E86AB"/>
      <sz val="16"/>
    </font>
    <font>
      <name val="Arial"/>
      <b val="1"/>
      <color rgb="001A2332"/>
      <sz val="16"/>
    </font>
    <font>
      <name val="Arial"/>
      <b val="1"/>
      <color rgb="00E74C3C"/>
      <sz val="16"/>
    </font>
    <font>
      <name val="Arial"/>
      <b val="1"/>
      <color rgb="00FFFFFF"/>
      <sz val="11"/>
    </font>
    <font>
      <name val="Arial"/>
      <b val="1"/>
      <color rgb="00FFFFFF"/>
      <sz val="9.5"/>
    </font>
    <font>
      <name val="Arial"/>
      <b val="1"/>
      <color rgb="002C3E50"/>
      <sz val="9.5"/>
    </font>
    <font>
      <name val="Arial"/>
      <b val="1"/>
      <color rgb="00FFFFFF"/>
      <sz val="13"/>
    </font>
    <font>
      <name val="Arial"/>
      <b val="1"/>
      <color rgb="002E86AB"/>
      <sz val="10"/>
    </font>
  </fonts>
  <fills count="6">
    <fill>
      <patternFill/>
    </fill>
    <fill>
      <patternFill patternType="gray125"/>
    </fill>
    <fill>
      <patternFill patternType="solid">
        <fgColor rgb="001A2332"/>
        <bgColor rgb="001A2332"/>
      </patternFill>
    </fill>
    <fill>
      <patternFill patternType="solid">
        <fgColor rgb="00F4F6F9"/>
        <bgColor rgb="00F4F6F9"/>
      </patternFill>
    </fill>
    <fill>
      <patternFill patternType="solid">
        <fgColor rgb="00FFFFFF"/>
        <bgColor rgb="00FFFFFF"/>
      </patternFill>
    </fill>
    <fill>
      <patternFill patternType="solid">
        <fgColor rgb="002E86AB"/>
        <bgColor rgb="002E86AB"/>
      </patternFill>
    </fill>
  </fills>
  <borders count="5">
    <border>
      <left/>
      <right/>
      <top/>
      <bottom/>
      <diagonal/>
    </border>
    <border>
      <left style="thin">
        <color rgb="00D1D9E0"/>
      </left>
      <right style="thin">
        <color rgb="00D1D9E0"/>
      </right>
      <top style="thin">
        <color rgb="00D1D9E0"/>
      </top>
      <bottom style="thin">
        <color rgb="00D1D9E0"/>
      </bottom>
    </border>
    <border>
      <left/>
      <right/>
      <top style="thin">
        <color rgb="00D1D9E0"/>
      </top>
      <bottom/>
      <diagonal/>
    </border>
    <border>
      <left/>
      <right style="thin">
        <color rgb="00D1D9E0"/>
      </right>
      <top style="thin">
        <color rgb="00D1D9E0"/>
      </top>
      <bottom/>
      <diagonal/>
    </border>
    <border>
      <left/>
      <right style="thin">
        <color rgb="00D1D9E0"/>
      </right>
      <top style="thin">
        <color rgb="00D1D9E0"/>
      </top>
      <bottom style="thin">
        <color rgb="00D1D9E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6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0" borderId="4" pivotButton="0" quotePrefix="0" xfId="0"/>
    <xf numFmtId="167" fontId="9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1" fontId="11" fillId="4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2" fillId="3" borderId="1" pivotButton="0" quotePrefix="0" xfId="0"/>
    <xf numFmtId="167" fontId="2" fillId="3" borderId="1" pivotButton="0" quotePrefix="0" xfId="0"/>
    <xf numFmtId="168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167" fontId="2" fillId="4" borderId="1" pivotButton="0" quotePrefix="0" xfId="0"/>
    <xf numFmtId="168" fontId="2" fillId="4" borderId="1" applyAlignment="1" pivotButton="0" quotePrefix="0" xfId="0">
      <alignment horizontal="center" vertical="center"/>
    </xf>
    <xf numFmtId="0" fontId="1" fillId="2" borderId="1" pivotButton="0" quotePrefix="0" xfId="0"/>
    <xf numFmtId="167" fontId="1" fillId="2" borderId="1" pivotButton="0" quotePrefix="0" xfId="0"/>
    <xf numFmtId="0" fontId="14" fillId="3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3" borderId="1" pivotButton="0" quotePrefix="0" xfId="0"/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Supplier Spend (Delivered)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'Dashboard'!$A$10:$A$19</f>
            </numRef>
          </cat>
          <val>
            <numRef>
              <f>'Dashboard'!$B$10:$B$19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'Dashboard'!$G$10:$G$14</f>
            </numRef>
          </cat>
          <val>
            <numRef>
              <f>'Dashboard'!$H$10:$H$14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24" customWidth="1" min="5" max="5"/>
    <col width="10" customWidth="1" min="6" max="6"/>
    <col width="16" customWidth="1" min="7" max="7"/>
    <col width="18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Delivery Date</t>
        </is>
      </c>
      <c r="D1" s="1" t="inlineStr">
        <is>
          <t>Supplier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 (R)</t>
        </is>
      </c>
      <c r="H1" s="1" t="inlineStr">
        <is>
          <t>Total Amount (R)</t>
        </is>
      </c>
      <c r="I1" s="1" t="inlineStr">
        <is>
          <t>Status</t>
        </is>
      </c>
      <c r="J1" s="1" t="inlineStr">
        <is>
          <t>Month</t>
        </is>
      </c>
      <c r="K1" s="1" t="inlineStr">
        <is>
          <t>Quarter</t>
        </is>
      </c>
    </row>
    <row r="2">
      <c r="A2" s="2" t="inlineStr">
        <is>
          <t>PO-10001</t>
        </is>
      </c>
      <c r="B2" s="3" t="n">
        <v>45417</v>
      </c>
      <c r="C2" s="3" t="n">
        <v>45427</v>
      </c>
      <c r="D2" s="2" t="inlineStr">
        <is>
          <t>Bidvest Facilities</t>
        </is>
      </c>
      <c r="E2" s="2" t="inlineStr">
        <is>
          <t>Facilities &amp; Maintenance</t>
        </is>
      </c>
      <c r="F2" s="2" t="n">
        <v>2</v>
      </c>
      <c r="G2" s="2" t="n">
        <v>3349.9</v>
      </c>
      <c r="H2" s="4">
        <f>F2*G2</f>
        <v/>
      </c>
      <c r="I2" s="5" t="n"/>
      <c r="J2" s="6">
        <f>TEXT(B2,"MMM YYYY")</f>
        <v/>
      </c>
      <c r="K2" s="6">
        <f>"Q"&amp;INT((MONTH(B2)-1)/3+1)&amp;" "&amp;YEAR(B2)</f>
        <v/>
      </c>
    </row>
    <row r="3">
      <c r="A3" s="7" t="inlineStr">
        <is>
          <t>PO-10002</t>
        </is>
      </c>
      <c r="B3" s="8" t="n">
        <v>45571</v>
      </c>
      <c r="C3" s="8" t="n">
        <v>45576</v>
      </c>
      <c r="D3" s="7" t="inlineStr">
        <is>
          <t>Bidvest Facilities</t>
        </is>
      </c>
      <c r="E3" s="7" t="inlineStr">
        <is>
          <t>Facilities &amp; Maintenance</t>
        </is>
      </c>
      <c r="F3" s="7" t="n">
        <v>44</v>
      </c>
      <c r="G3" s="7" t="n">
        <v>3345.97</v>
      </c>
      <c r="H3" s="9">
        <f>F3*G3</f>
        <v/>
      </c>
      <c r="I3" s="5" t="n"/>
      <c r="J3" s="10">
        <f>TEXT(B3,"MMM YYYY")</f>
        <v/>
      </c>
      <c r="K3" s="10">
        <f>"Q"&amp;INT((MONTH(B3)-1)/3+1)&amp;" "&amp;YEAR(B3)</f>
        <v/>
      </c>
    </row>
    <row r="4">
      <c r="A4" s="2" t="inlineStr">
        <is>
          <t>PO-10003</t>
        </is>
      </c>
      <c r="B4" s="3" t="n">
        <v>45411</v>
      </c>
      <c r="C4" s="3" t="n">
        <v>45430</v>
      </c>
      <c r="D4" s="2" t="inlineStr">
        <is>
          <t>Makro SA</t>
        </is>
      </c>
      <c r="E4" s="2" t="inlineStr">
        <is>
          <t>Office Supplies</t>
        </is>
      </c>
      <c r="F4" s="2" t="n">
        <v>2</v>
      </c>
      <c r="G4" s="2" t="n">
        <v>466.94</v>
      </c>
      <c r="H4" s="4">
        <f>F4*G4</f>
        <v/>
      </c>
      <c r="I4" s="5" t="n"/>
      <c r="J4" s="6">
        <f>TEXT(B4,"MMM YYYY")</f>
        <v/>
      </c>
      <c r="K4" s="6">
        <f>"Q"&amp;INT((MONTH(B4)-1)/3+1)&amp;" "&amp;YEAR(B4)</f>
        <v/>
      </c>
    </row>
    <row r="5">
      <c r="A5" s="7" t="inlineStr">
        <is>
          <t>PO-10004</t>
        </is>
      </c>
      <c r="B5" s="8" t="n">
        <v>45651</v>
      </c>
      <c r="C5" s="8" t="n">
        <v>45671</v>
      </c>
      <c r="D5" s="7" t="inlineStr">
        <is>
          <t>Staples SA</t>
        </is>
      </c>
      <c r="E5" s="7" t="inlineStr">
        <is>
          <t>Office Supplies</t>
        </is>
      </c>
      <c r="F5" s="7" t="n">
        <v>13</v>
      </c>
      <c r="G5" s="7" t="n">
        <v>3236.29</v>
      </c>
      <c r="H5" s="9">
        <f>F5*G5</f>
        <v/>
      </c>
      <c r="I5" s="5" t="n"/>
      <c r="J5" s="10">
        <f>TEXT(B5,"MMM YYYY")</f>
        <v/>
      </c>
      <c r="K5" s="10">
        <f>"Q"&amp;INT((MONTH(B5)-1)/3+1)&amp;" "&amp;YEAR(B5)</f>
        <v/>
      </c>
    </row>
    <row r="6">
      <c r="A6" s="2" t="inlineStr">
        <is>
          <t>PO-10005</t>
        </is>
      </c>
      <c r="B6" s="3" t="n">
        <v>45295</v>
      </c>
      <c r="C6" s="3" t="n">
        <v>45303</v>
      </c>
      <c r="D6" s="2" t="inlineStr">
        <is>
          <t>Tiger Brands</t>
        </is>
      </c>
      <c r="E6" s="2" t="inlineStr">
        <is>
          <t>Food &amp; Consumables</t>
        </is>
      </c>
      <c r="F6" s="2" t="n">
        <v>38</v>
      </c>
      <c r="G6" s="2" t="n">
        <v>1287.95</v>
      </c>
      <c r="H6" s="4">
        <f>F6*G6</f>
        <v/>
      </c>
      <c r="I6" s="5" t="n"/>
      <c r="J6" s="6">
        <f>TEXT(B6,"MMM YYYY")</f>
        <v/>
      </c>
      <c r="K6" s="6">
        <f>"Q"&amp;INT((MONTH(B6)-1)/3+1)&amp;" "&amp;YEAR(B6)</f>
        <v/>
      </c>
    </row>
    <row r="7">
      <c r="A7" s="7" t="inlineStr">
        <is>
          <t>PO-10006</t>
        </is>
      </c>
      <c r="B7" s="8" t="n">
        <v>45464</v>
      </c>
      <c r="C7" s="8" t="n">
        <v>45470</v>
      </c>
      <c r="D7" s="7" t="inlineStr">
        <is>
          <t>Builders Warehouse</t>
        </is>
      </c>
      <c r="E7" s="7" t="inlineStr">
        <is>
          <t>Facilities &amp; Maintenance</t>
        </is>
      </c>
      <c r="F7" s="7" t="n">
        <v>18</v>
      </c>
      <c r="G7" s="7" t="n">
        <v>741.88</v>
      </c>
      <c r="H7" s="9">
        <f>F7*G7</f>
        <v/>
      </c>
      <c r="I7" s="5" t="n"/>
      <c r="J7" s="10">
        <f>TEXT(B7,"MMM YYYY")</f>
        <v/>
      </c>
      <c r="K7" s="10">
        <f>"Q"&amp;INT((MONTH(B7)-1)/3+1)&amp;" "&amp;YEAR(B7)</f>
        <v/>
      </c>
    </row>
    <row r="8">
      <c r="A8" s="2" t="inlineStr">
        <is>
          <t>PO-10007</t>
        </is>
      </c>
      <c r="B8" s="3" t="n">
        <v>45601</v>
      </c>
      <c r="C8" s="3" t="n">
        <v>45612</v>
      </c>
      <c r="D8" s="2" t="inlineStr">
        <is>
          <t>Bidvest Facilities</t>
        </is>
      </c>
      <c r="E8" s="2" t="inlineStr">
        <is>
          <t>Facilities &amp; Maintenance</t>
        </is>
      </c>
      <c r="F8" s="2" t="n">
        <v>23</v>
      </c>
      <c r="G8" s="2" t="n">
        <v>3821.35</v>
      </c>
      <c r="H8" s="4">
        <f>F8*G8</f>
        <v/>
      </c>
      <c r="I8" s="11" t="n"/>
      <c r="J8" s="6">
        <f>TEXT(B8,"MMM YYYY")</f>
        <v/>
      </c>
      <c r="K8" s="6">
        <f>"Q"&amp;INT((MONTH(B8)-1)/3+1)&amp;" "&amp;YEAR(B8)</f>
        <v/>
      </c>
    </row>
    <row r="9">
      <c r="A9" s="7" t="inlineStr">
        <is>
          <t>PO-10008</t>
        </is>
      </c>
      <c r="B9" s="8" t="n">
        <v>45485</v>
      </c>
      <c r="C9" s="8" t="n">
        <v>45490</v>
      </c>
      <c r="D9" s="7" t="inlineStr">
        <is>
          <t>Tiger Brands</t>
        </is>
      </c>
      <c r="E9" s="7" t="inlineStr">
        <is>
          <t>Food &amp; Consumables</t>
        </is>
      </c>
      <c r="F9" s="7" t="n">
        <v>35</v>
      </c>
      <c r="G9" s="7" t="n">
        <v>605.48</v>
      </c>
      <c r="H9" s="9">
        <f>F9*G9</f>
        <v/>
      </c>
      <c r="I9" s="5" t="n"/>
      <c r="J9" s="10">
        <f>TEXT(B9,"MMM YYYY")</f>
        <v/>
      </c>
      <c r="K9" s="10">
        <f>"Q"&amp;INT((MONTH(B9)-1)/3+1)&amp;" "&amp;YEAR(B9)</f>
        <v/>
      </c>
    </row>
    <row r="10">
      <c r="A10" s="2" t="inlineStr">
        <is>
          <t>PO-10009</t>
        </is>
      </c>
      <c r="B10" s="3" t="n">
        <v>45652</v>
      </c>
      <c r="C10" s="3" t="n">
        <v>45657</v>
      </c>
      <c r="D10" s="2" t="inlineStr">
        <is>
          <t>Digitec SA</t>
        </is>
      </c>
      <c r="E10" s="2" t="inlineStr">
        <is>
          <t>Marketing &amp; Print</t>
        </is>
      </c>
      <c r="F10" s="2" t="n">
        <v>24</v>
      </c>
      <c r="G10" s="2" t="n">
        <v>2619.22</v>
      </c>
      <c r="H10" s="4">
        <f>F10*G10</f>
        <v/>
      </c>
      <c r="I10" s="5" t="n"/>
      <c r="J10" s="6">
        <f>TEXT(B10,"MMM YYYY")</f>
        <v/>
      </c>
      <c r="K10" s="6">
        <f>"Q"&amp;INT((MONTH(B10)-1)/3+1)&amp;" "&amp;YEAR(B10)</f>
        <v/>
      </c>
    </row>
    <row r="11">
      <c r="A11" s="7" t="inlineStr">
        <is>
          <t>PO-10010</t>
        </is>
      </c>
      <c r="B11" s="8" t="n">
        <v>45332</v>
      </c>
      <c r="C11" s="8" t="n">
        <v>45342</v>
      </c>
      <c r="D11" s="7" t="inlineStr">
        <is>
          <t>Pick n Pay Trade</t>
        </is>
      </c>
      <c r="E11" s="7" t="inlineStr">
        <is>
          <t>Food &amp; Consumables</t>
        </is>
      </c>
      <c r="F11" s="7" t="n">
        <v>50</v>
      </c>
      <c r="G11" s="7" t="n">
        <v>1337.78</v>
      </c>
      <c r="H11" s="9">
        <f>F11*G11</f>
        <v/>
      </c>
      <c r="I11" s="11" t="n"/>
      <c r="J11" s="10">
        <f>TEXT(B11,"MMM YYYY")</f>
        <v/>
      </c>
      <c r="K11" s="10">
        <f>"Q"&amp;INT((MONTH(B11)-1)/3+1)&amp;" "&amp;YEAR(B11)</f>
        <v/>
      </c>
    </row>
    <row r="12">
      <c r="A12" s="2" t="inlineStr">
        <is>
          <t>PO-10011</t>
        </is>
      </c>
      <c r="B12" s="3" t="n">
        <v>45478</v>
      </c>
      <c r="C12" s="3" t="n">
        <v>45486</v>
      </c>
      <c r="D12" s="2" t="inlineStr">
        <is>
          <t>Nashua Office</t>
        </is>
      </c>
      <c r="E12" s="2" t="inlineStr">
        <is>
          <t>IT &amp; Electronics</t>
        </is>
      </c>
      <c r="F12" s="2" t="n">
        <v>18</v>
      </c>
      <c r="G12" s="2" t="n">
        <v>2067.68</v>
      </c>
      <c r="H12" s="4">
        <f>F12*G12</f>
        <v/>
      </c>
      <c r="I12" s="5" t="n"/>
      <c r="J12" s="6">
        <f>TEXT(B12,"MMM YYYY")</f>
        <v/>
      </c>
      <c r="K12" s="6">
        <f>"Q"&amp;INT((MONTH(B12)-1)/3+1)&amp;" "&amp;YEAR(B12)</f>
        <v/>
      </c>
    </row>
    <row r="13">
      <c r="A13" s="7" t="inlineStr">
        <is>
          <t>PO-10012</t>
        </is>
      </c>
      <c r="B13" s="8" t="n">
        <v>45641</v>
      </c>
      <c r="C13" s="8" t="n">
        <v>45646</v>
      </c>
      <c r="D13" s="7" t="inlineStr">
        <is>
          <t>Pick n Pay Trade</t>
        </is>
      </c>
      <c r="E13" s="7" t="inlineStr">
        <is>
          <t>Food &amp; Consumables</t>
        </is>
      </c>
      <c r="F13" s="7" t="n">
        <v>43</v>
      </c>
      <c r="G13" s="7" t="n">
        <v>1238.05</v>
      </c>
      <c r="H13" s="9">
        <f>F13*G13</f>
        <v/>
      </c>
      <c r="I13" s="5" t="n"/>
      <c r="J13" s="10">
        <f>TEXT(B13,"MMM YYYY")</f>
        <v/>
      </c>
      <c r="K13" s="10">
        <f>"Q"&amp;INT((MONTH(B13)-1)/3+1)&amp;" "&amp;YEAR(B13)</f>
        <v/>
      </c>
    </row>
    <row r="14">
      <c r="A14" s="2" t="inlineStr">
        <is>
          <t>PO-10013</t>
        </is>
      </c>
      <c r="B14" s="3" t="n">
        <v>45375</v>
      </c>
      <c r="C14" s="3" t="n">
        <v>45392</v>
      </c>
      <c r="D14" s="2" t="inlineStr">
        <is>
          <t>Incredible Connection</t>
        </is>
      </c>
      <c r="E14" s="2" t="inlineStr">
        <is>
          <t>IT &amp; Electronics</t>
        </is>
      </c>
      <c r="F14" s="2" t="n">
        <v>35</v>
      </c>
      <c r="G14" s="2" t="n">
        <v>3294.61</v>
      </c>
      <c r="H14" s="4">
        <f>F14*G14</f>
        <v/>
      </c>
      <c r="I14" s="5" t="n"/>
      <c r="J14" s="6">
        <f>TEXT(B14,"MMM YYYY")</f>
        <v/>
      </c>
      <c r="K14" s="6">
        <f>"Q"&amp;INT((MONTH(B14)-1)/3+1)&amp;" "&amp;YEAR(B14)</f>
        <v/>
      </c>
    </row>
    <row r="15">
      <c r="A15" s="7" t="inlineStr">
        <is>
          <t>PO-10014</t>
        </is>
      </c>
      <c r="B15" s="8" t="n">
        <v>45320</v>
      </c>
      <c r="C15" s="8" t="n">
        <v>45330</v>
      </c>
      <c r="D15" s="7" t="inlineStr">
        <is>
          <t>Staples SA</t>
        </is>
      </c>
      <c r="E15" s="7" t="inlineStr">
        <is>
          <t>Office Supplies</t>
        </is>
      </c>
      <c r="F15" s="7" t="n">
        <v>15</v>
      </c>
      <c r="G15" s="7" t="n">
        <v>3096.53</v>
      </c>
      <c r="H15" s="9">
        <f>F15*G15</f>
        <v/>
      </c>
      <c r="I15" s="11" t="n"/>
      <c r="J15" s="10">
        <f>TEXT(B15,"MMM YYYY")</f>
        <v/>
      </c>
      <c r="K15" s="10">
        <f>"Q"&amp;INT((MONTH(B15)-1)/3+1)&amp;" "&amp;YEAR(B15)</f>
        <v/>
      </c>
    </row>
    <row r="16">
      <c r="A16" s="2" t="inlineStr">
        <is>
          <t>PO-10015</t>
        </is>
      </c>
      <c r="B16" s="3" t="n">
        <v>45400</v>
      </c>
      <c r="C16" s="3" t="n">
        <v>45421</v>
      </c>
      <c r="D16" s="2" t="inlineStr">
        <is>
          <t>Builders Warehouse</t>
        </is>
      </c>
      <c r="E16" s="2" t="inlineStr">
        <is>
          <t>Facilities &amp; Maintenance</t>
        </is>
      </c>
      <c r="F16" s="2" t="n">
        <v>26</v>
      </c>
      <c r="G16" s="2" t="n">
        <v>1241.45</v>
      </c>
      <c r="H16" s="4">
        <f>F16*G16</f>
        <v/>
      </c>
      <c r="I16" s="11" t="n"/>
      <c r="J16" s="6">
        <f>TEXT(B16,"MMM YYYY")</f>
        <v/>
      </c>
      <c r="K16" s="6">
        <f>"Q"&amp;INT((MONTH(B16)-1)/3+1)&amp;" "&amp;YEAR(B16)</f>
        <v/>
      </c>
    </row>
    <row r="17">
      <c r="A17" s="7" t="inlineStr">
        <is>
          <t>PO-10016</t>
        </is>
      </c>
      <c r="B17" s="8" t="n">
        <v>45494</v>
      </c>
      <c r="C17" s="8" t="n">
        <v>45511</v>
      </c>
      <c r="D17" s="7" t="inlineStr">
        <is>
          <t>Builders Warehouse</t>
        </is>
      </c>
      <c r="E17" s="7" t="inlineStr">
        <is>
          <t>Facilities &amp; Maintenance</t>
        </is>
      </c>
      <c r="F17" s="7" t="n">
        <v>14</v>
      </c>
      <c r="G17" s="7" t="n">
        <v>2966.7</v>
      </c>
      <c r="H17" s="9">
        <f>F17*G17</f>
        <v/>
      </c>
      <c r="I17" s="5" t="n"/>
      <c r="J17" s="10">
        <f>TEXT(B17,"MMM YYYY")</f>
        <v/>
      </c>
      <c r="K17" s="10">
        <f>"Q"&amp;INT((MONTH(B17)-1)/3+1)&amp;" "&amp;YEAR(B17)</f>
        <v/>
      </c>
    </row>
    <row r="18">
      <c r="A18" s="2" t="inlineStr">
        <is>
          <t>PO-10017</t>
        </is>
      </c>
      <c r="B18" s="3" t="n">
        <v>45567</v>
      </c>
      <c r="C18" s="3" t="n">
        <v>45578</v>
      </c>
      <c r="D18" s="2" t="inlineStr">
        <is>
          <t>Incredible Connection</t>
        </is>
      </c>
      <c r="E18" s="2" t="inlineStr">
        <is>
          <t>IT &amp; Electronics</t>
        </is>
      </c>
      <c r="F18" s="2" t="n">
        <v>16</v>
      </c>
      <c r="G18" s="2" t="n">
        <v>3365.2</v>
      </c>
      <c r="H18" s="4">
        <f>F18*G18</f>
        <v/>
      </c>
      <c r="I18" s="5" t="n"/>
      <c r="J18" s="6">
        <f>TEXT(B18,"MMM YYYY")</f>
        <v/>
      </c>
      <c r="K18" s="6">
        <f>"Q"&amp;INT((MONTH(B18)-1)/3+1)&amp;" "&amp;YEAR(B18)</f>
        <v/>
      </c>
    </row>
    <row r="19">
      <c r="A19" s="7" t="inlineStr">
        <is>
          <t>PO-10018</t>
        </is>
      </c>
      <c r="B19" s="8" t="n">
        <v>45404</v>
      </c>
      <c r="C19" s="8" t="n">
        <v>45411</v>
      </c>
      <c r="D19" s="7" t="inlineStr">
        <is>
          <t>Nashua Office</t>
        </is>
      </c>
      <c r="E19" s="7" t="inlineStr">
        <is>
          <t>IT &amp; Electronics</t>
        </is>
      </c>
      <c r="F19" s="7" t="n">
        <v>38</v>
      </c>
      <c r="G19" s="7" t="n">
        <v>1827.33</v>
      </c>
      <c r="H19" s="9">
        <f>F19*G19</f>
        <v/>
      </c>
      <c r="I19" s="5" t="n"/>
      <c r="J19" s="10">
        <f>TEXT(B19,"MMM YYYY")</f>
        <v/>
      </c>
      <c r="K19" s="10">
        <f>"Q"&amp;INT((MONTH(B19)-1)/3+1)&amp;" "&amp;YEAR(B19)</f>
        <v/>
      </c>
    </row>
    <row r="20">
      <c r="A20" s="2" t="inlineStr">
        <is>
          <t>PO-10019</t>
        </is>
      </c>
      <c r="B20" s="3" t="n">
        <v>45348</v>
      </c>
      <c r="C20" s="3" t="n">
        <v>45355</v>
      </c>
      <c r="D20" s="2" t="inlineStr">
        <is>
          <t>Bidvest Facilities</t>
        </is>
      </c>
      <c r="E20" s="2" t="inlineStr">
        <is>
          <t>Facilities &amp; Maintenance</t>
        </is>
      </c>
      <c r="F20" s="2" t="n">
        <v>49</v>
      </c>
      <c r="G20" s="2" t="n">
        <v>259.67</v>
      </c>
      <c r="H20" s="4">
        <f>F20*G20</f>
        <v/>
      </c>
      <c r="I20" s="5" t="n"/>
      <c r="J20" s="6">
        <f>TEXT(B20,"MMM YYYY")</f>
        <v/>
      </c>
      <c r="K20" s="6">
        <f>"Q"&amp;INT((MONTH(B20)-1)/3+1)&amp;" "&amp;YEAR(B20)</f>
        <v/>
      </c>
    </row>
    <row r="21">
      <c r="A21" s="7" t="inlineStr">
        <is>
          <t>PO-10020</t>
        </is>
      </c>
      <c r="B21" s="8" t="n">
        <v>45487</v>
      </c>
      <c r="C21" s="8" t="n">
        <v>45504</v>
      </c>
      <c r="D21" s="7" t="inlineStr">
        <is>
          <t>Nashua Office</t>
        </is>
      </c>
      <c r="E21" s="7" t="inlineStr">
        <is>
          <t>IT &amp; Electronics</t>
        </is>
      </c>
      <c r="F21" s="7" t="n">
        <v>39</v>
      </c>
      <c r="G21" s="7" t="n">
        <v>332.7</v>
      </c>
      <c r="H21" s="9">
        <f>F21*G21</f>
        <v/>
      </c>
      <c r="I21" s="5" t="n"/>
      <c r="J21" s="10">
        <f>TEXT(B21,"MMM YYYY")</f>
        <v/>
      </c>
      <c r="K21" s="10">
        <f>"Q"&amp;INT((MONTH(B21)-1)/3+1)&amp;" "&amp;YEAR(B21)</f>
        <v/>
      </c>
    </row>
    <row r="22">
      <c r="A22" s="2" t="inlineStr">
        <is>
          <t>PO-10021</t>
        </is>
      </c>
      <c r="B22" s="3" t="n">
        <v>45350</v>
      </c>
      <c r="C22" s="3" t="n">
        <v>45370</v>
      </c>
      <c r="D22" s="2" t="inlineStr">
        <is>
          <t>Staples SA</t>
        </is>
      </c>
      <c r="E22" s="2" t="inlineStr">
        <is>
          <t>Office Supplies</t>
        </is>
      </c>
      <c r="F22" s="2" t="n">
        <v>1</v>
      </c>
      <c r="G22" s="2" t="n">
        <v>3077.26</v>
      </c>
      <c r="H22" s="4">
        <f>F22*G22</f>
        <v/>
      </c>
      <c r="I22" s="5" t="n"/>
      <c r="J22" s="6">
        <f>TEXT(B22,"MMM YYYY")</f>
        <v/>
      </c>
      <c r="K22" s="6">
        <f>"Q"&amp;INT((MONTH(B22)-1)/3+1)&amp;" "&amp;YEAR(B22)</f>
        <v/>
      </c>
    </row>
    <row r="23">
      <c r="A23" s="7" t="inlineStr">
        <is>
          <t>PO-10022</t>
        </is>
      </c>
      <c r="B23" s="8" t="n">
        <v>45372</v>
      </c>
      <c r="C23" s="8" t="n">
        <v>45389</v>
      </c>
      <c r="D23" s="7" t="inlineStr">
        <is>
          <t>Builders Warehouse</t>
        </is>
      </c>
      <c r="E23" s="7" t="inlineStr">
        <is>
          <t>Facilities &amp; Maintenance</t>
        </is>
      </c>
      <c r="F23" s="7" t="n">
        <v>8</v>
      </c>
      <c r="G23" s="7" t="n">
        <v>1356.08</v>
      </c>
      <c r="H23" s="9">
        <f>F23*G23</f>
        <v/>
      </c>
      <c r="I23" s="5" t="n"/>
      <c r="J23" s="10">
        <f>TEXT(B23,"MMM YYYY")</f>
        <v/>
      </c>
      <c r="K23" s="10">
        <f>"Q"&amp;INT((MONTH(B23)-1)/3+1)&amp;" "&amp;YEAR(B23)</f>
        <v/>
      </c>
    </row>
    <row r="24">
      <c r="A24" s="2" t="inlineStr">
        <is>
          <t>PO-10023</t>
        </is>
      </c>
      <c r="B24" s="3" t="n">
        <v>45551</v>
      </c>
      <c r="C24" s="3" t="n">
        <v>45557</v>
      </c>
      <c r="D24" s="2" t="inlineStr">
        <is>
          <t>Rand Merchant Print</t>
        </is>
      </c>
      <c r="E24" s="2" t="inlineStr">
        <is>
          <t>Marketing &amp; Print</t>
        </is>
      </c>
      <c r="F24" s="2" t="n">
        <v>33</v>
      </c>
      <c r="G24" s="2" t="n">
        <v>3440.73</v>
      </c>
      <c r="H24" s="4">
        <f>F24*G24</f>
        <v/>
      </c>
      <c r="I24" s="11" t="n"/>
      <c r="J24" s="6">
        <f>TEXT(B24,"MMM YYYY")</f>
        <v/>
      </c>
      <c r="K24" s="6">
        <f>"Q"&amp;INT((MONTH(B24)-1)/3+1)&amp;" "&amp;YEAR(B24)</f>
        <v/>
      </c>
    </row>
    <row r="25">
      <c r="A25" s="7" t="inlineStr">
        <is>
          <t>PO-10024</t>
        </is>
      </c>
      <c r="B25" s="8" t="n">
        <v>45393</v>
      </c>
      <c r="C25" s="8" t="n">
        <v>45400</v>
      </c>
      <c r="D25" s="7" t="inlineStr">
        <is>
          <t>Rand Merchant Print</t>
        </is>
      </c>
      <c r="E25" s="7" t="inlineStr">
        <is>
          <t>Marketing &amp; Print</t>
        </is>
      </c>
      <c r="F25" s="7" t="n">
        <v>41</v>
      </c>
      <c r="G25" s="7" t="n">
        <v>2309.1</v>
      </c>
      <c r="H25" s="9">
        <f>F25*G25</f>
        <v/>
      </c>
      <c r="I25" s="5" t="n"/>
      <c r="J25" s="10">
        <f>TEXT(B25,"MMM YYYY")</f>
        <v/>
      </c>
      <c r="K25" s="10">
        <f>"Q"&amp;INT((MONTH(B25)-1)/3+1)&amp;" "&amp;YEAR(B25)</f>
        <v/>
      </c>
    </row>
    <row r="26">
      <c r="A26" s="2" t="inlineStr">
        <is>
          <t>PO-10025</t>
        </is>
      </c>
      <c r="B26" s="3" t="n">
        <v>45563</v>
      </c>
      <c r="C26" s="3" t="n">
        <v>45566</v>
      </c>
      <c r="D26" s="2" t="inlineStr">
        <is>
          <t>Incredible Connection</t>
        </is>
      </c>
      <c r="E26" s="2" t="inlineStr">
        <is>
          <t>IT &amp; Electronics</t>
        </is>
      </c>
      <c r="F26" s="2" t="n">
        <v>35</v>
      </c>
      <c r="G26" s="2" t="n">
        <v>4293.07</v>
      </c>
      <c r="H26" s="4">
        <f>F26*G26</f>
        <v/>
      </c>
      <c r="I26" s="5" t="n"/>
      <c r="J26" s="6">
        <f>TEXT(B26,"MMM YYYY")</f>
        <v/>
      </c>
      <c r="K26" s="6">
        <f>"Q"&amp;INT((MONTH(B26)-1)/3+1)&amp;" "&amp;YEAR(B26)</f>
        <v/>
      </c>
    </row>
    <row r="27">
      <c r="A27" s="7" t="inlineStr">
        <is>
          <t>PO-10026</t>
        </is>
      </c>
      <c r="B27" s="8" t="n">
        <v>45477</v>
      </c>
      <c r="C27" s="8" t="n">
        <v>45489</v>
      </c>
      <c r="D27" s="7" t="inlineStr">
        <is>
          <t>Tiger Brands</t>
        </is>
      </c>
      <c r="E27" s="7" t="inlineStr">
        <is>
          <t>Food &amp; Consumables</t>
        </is>
      </c>
      <c r="F27" s="7" t="n">
        <v>2</v>
      </c>
      <c r="G27" s="7" t="n">
        <v>547.8099999999999</v>
      </c>
      <c r="H27" s="9">
        <f>F27*G27</f>
        <v/>
      </c>
      <c r="I27" s="5" t="n"/>
      <c r="J27" s="10">
        <f>TEXT(B27,"MMM YYYY")</f>
        <v/>
      </c>
      <c r="K27" s="10">
        <f>"Q"&amp;INT((MONTH(B27)-1)/3+1)&amp;" "&amp;YEAR(B27)</f>
        <v/>
      </c>
    </row>
    <row r="28">
      <c r="A28" s="2" t="inlineStr">
        <is>
          <t>PO-10027</t>
        </is>
      </c>
      <c r="B28" s="3" t="n">
        <v>45335</v>
      </c>
      <c r="C28" s="3" t="n">
        <v>45353</v>
      </c>
      <c r="D28" s="2" t="inlineStr">
        <is>
          <t>Pick n Pay Trade</t>
        </is>
      </c>
      <c r="E28" s="2" t="inlineStr">
        <is>
          <t>Food &amp; Consumables</t>
        </is>
      </c>
      <c r="F28" s="2" t="n">
        <v>37</v>
      </c>
      <c r="G28" s="2" t="n">
        <v>4263.93</v>
      </c>
      <c r="H28" s="4">
        <f>F28*G28</f>
        <v/>
      </c>
      <c r="I28" s="11" t="n"/>
      <c r="J28" s="6">
        <f>TEXT(B28,"MMM YYYY")</f>
        <v/>
      </c>
      <c r="K28" s="6">
        <f>"Q"&amp;INT((MONTH(B28)-1)/3+1)&amp;" "&amp;YEAR(B28)</f>
        <v/>
      </c>
    </row>
    <row r="29">
      <c r="A29" s="7" t="inlineStr">
        <is>
          <t>PO-10028</t>
        </is>
      </c>
      <c r="B29" s="8" t="n">
        <v>45629</v>
      </c>
      <c r="C29" s="8" t="n">
        <v>45647</v>
      </c>
      <c r="D29" s="7" t="inlineStr">
        <is>
          <t>Staples SA</t>
        </is>
      </c>
      <c r="E29" s="7" t="inlineStr">
        <is>
          <t>Office Supplies</t>
        </is>
      </c>
      <c r="F29" s="7" t="n">
        <v>50</v>
      </c>
      <c r="G29" s="7" t="n">
        <v>609.63</v>
      </c>
      <c r="H29" s="9">
        <f>F29*G29</f>
        <v/>
      </c>
      <c r="I29" s="11" t="n"/>
      <c r="J29" s="10">
        <f>TEXT(B29,"MMM YYYY")</f>
        <v/>
      </c>
      <c r="K29" s="10">
        <f>"Q"&amp;INT((MONTH(B29)-1)/3+1)&amp;" "&amp;YEAR(B29)</f>
        <v/>
      </c>
    </row>
    <row r="30">
      <c r="A30" s="2" t="inlineStr">
        <is>
          <t>PO-10029</t>
        </is>
      </c>
      <c r="B30" s="3" t="n">
        <v>45602</v>
      </c>
      <c r="C30" s="3" t="n">
        <v>45618</v>
      </c>
      <c r="D30" s="2" t="inlineStr">
        <is>
          <t>Incredible Connection</t>
        </is>
      </c>
      <c r="E30" s="2" t="inlineStr">
        <is>
          <t>IT &amp; Electronics</t>
        </is>
      </c>
      <c r="F30" s="2" t="n">
        <v>17</v>
      </c>
      <c r="G30" s="2" t="n">
        <v>2398.15</v>
      </c>
      <c r="H30" s="4">
        <f>F30*G30</f>
        <v/>
      </c>
      <c r="I30" s="12" t="n"/>
      <c r="J30" s="6">
        <f>TEXT(B30,"MMM YYYY")</f>
        <v/>
      </c>
      <c r="K30" s="6">
        <f>"Q"&amp;INT((MONTH(B30)-1)/3+1)&amp;" "&amp;YEAR(B30)</f>
        <v/>
      </c>
    </row>
    <row r="31">
      <c r="A31" s="7" t="inlineStr">
        <is>
          <t>PO-10030</t>
        </is>
      </c>
      <c r="B31" s="8" t="n">
        <v>45394</v>
      </c>
      <c r="C31" s="8" t="n">
        <v>45406</v>
      </c>
      <c r="D31" s="7" t="inlineStr">
        <is>
          <t>Staples SA</t>
        </is>
      </c>
      <c r="E31" s="7" t="inlineStr">
        <is>
          <t>Office Supplies</t>
        </is>
      </c>
      <c r="F31" s="7" t="n">
        <v>49</v>
      </c>
      <c r="G31" s="7" t="n">
        <v>3298.19</v>
      </c>
      <c r="H31" s="9">
        <f>F31*G31</f>
        <v/>
      </c>
      <c r="I31" s="5" t="n"/>
      <c r="J31" s="10">
        <f>TEXT(B31,"MMM YYYY")</f>
        <v/>
      </c>
      <c r="K31" s="10">
        <f>"Q"&amp;INT((MONTH(B31)-1)/3+1)&amp;" "&amp;YEAR(B31)</f>
        <v/>
      </c>
    </row>
    <row r="32">
      <c r="A32" s="2" t="inlineStr">
        <is>
          <t>PO-10031</t>
        </is>
      </c>
      <c r="B32" s="3" t="n">
        <v>45523</v>
      </c>
      <c r="C32" s="3" t="n">
        <v>45529</v>
      </c>
      <c r="D32" s="2" t="inlineStr">
        <is>
          <t>Builders Warehouse</t>
        </is>
      </c>
      <c r="E32" s="2" t="inlineStr">
        <is>
          <t>Facilities &amp; Maintenance</t>
        </is>
      </c>
      <c r="F32" s="2" t="n">
        <v>29</v>
      </c>
      <c r="G32" s="2" t="n">
        <v>4053.28</v>
      </c>
      <c r="H32" s="4">
        <f>F32*G32</f>
        <v/>
      </c>
      <c r="I32" s="5" t="n"/>
      <c r="J32" s="6">
        <f>TEXT(B32,"MMM YYYY")</f>
        <v/>
      </c>
      <c r="K32" s="6">
        <f>"Q"&amp;INT((MONTH(B32)-1)/3+1)&amp;" "&amp;YEAR(B32)</f>
        <v/>
      </c>
    </row>
    <row r="33">
      <c r="A33" s="7" t="inlineStr">
        <is>
          <t>PO-10032</t>
        </is>
      </c>
      <c r="B33" s="8" t="n">
        <v>45575</v>
      </c>
      <c r="C33" s="8" t="n">
        <v>45585</v>
      </c>
      <c r="D33" s="7" t="inlineStr">
        <is>
          <t>Bidvest Facilities</t>
        </is>
      </c>
      <c r="E33" s="7" t="inlineStr">
        <is>
          <t>Facilities &amp; Maintenance</t>
        </is>
      </c>
      <c r="F33" s="7" t="n">
        <v>22</v>
      </c>
      <c r="G33" s="7" t="n">
        <v>143.6</v>
      </c>
      <c r="H33" s="9">
        <f>F33*G33</f>
        <v/>
      </c>
      <c r="I33" s="5" t="n"/>
      <c r="J33" s="10">
        <f>TEXT(B33,"MMM YYYY")</f>
        <v/>
      </c>
      <c r="K33" s="10">
        <f>"Q"&amp;INT((MONTH(B33)-1)/3+1)&amp;" "&amp;YEAR(B33)</f>
        <v/>
      </c>
    </row>
    <row r="34">
      <c r="A34" s="2" t="inlineStr">
        <is>
          <t>PO-10033</t>
        </is>
      </c>
      <c r="B34" s="3" t="n">
        <v>45322</v>
      </c>
      <c r="C34" s="3" t="n">
        <v>45332</v>
      </c>
      <c r="D34" s="2" t="inlineStr">
        <is>
          <t>Makro SA</t>
        </is>
      </c>
      <c r="E34" s="2" t="inlineStr">
        <is>
          <t>Office Supplies</t>
        </is>
      </c>
      <c r="F34" s="2" t="n">
        <v>5</v>
      </c>
      <c r="G34" s="2" t="n">
        <v>3199.89</v>
      </c>
      <c r="H34" s="4">
        <f>F34*G34</f>
        <v/>
      </c>
      <c r="I34" s="5" t="n"/>
      <c r="J34" s="6">
        <f>TEXT(B34,"MMM YYYY")</f>
        <v/>
      </c>
      <c r="K34" s="6">
        <f>"Q"&amp;INT((MONTH(B34)-1)/3+1)&amp;" "&amp;YEAR(B34)</f>
        <v/>
      </c>
    </row>
    <row r="35">
      <c r="A35" s="7" t="inlineStr">
        <is>
          <t>PO-10034</t>
        </is>
      </c>
      <c r="B35" s="8" t="n">
        <v>45413</v>
      </c>
      <c r="C35" s="8" t="n">
        <v>45424</v>
      </c>
      <c r="D35" s="7" t="inlineStr">
        <is>
          <t>Makro SA</t>
        </is>
      </c>
      <c r="E35" s="7" t="inlineStr">
        <is>
          <t>Office Supplies</t>
        </is>
      </c>
      <c r="F35" s="7" t="n">
        <v>22</v>
      </c>
      <c r="G35" s="7" t="n">
        <v>365.32</v>
      </c>
      <c r="H35" s="9">
        <f>F35*G35</f>
        <v/>
      </c>
      <c r="I35" s="5" t="n"/>
      <c r="J35" s="10">
        <f>TEXT(B35,"MMM YYYY")</f>
        <v/>
      </c>
      <c r="K35" s="10">
        <f>"Q"&amp;INT((MONTH(B35)-1)/3+1)&amp;" "&amp;YEAR(B35)</f>
        <v/>
      </c>
    </row>
    <row r="36">
      <c r="A36" s="2" t="inlineStr">
        <is>
          <t>PO-10035</t>
        </is>
      </c>
      <c r="B36" s="3" t="n">
        <v>45584</v>
      </c>
      <c r="C36" s="3" t="n">
        <v>45605</v>
      </c>
      <c r="D36" s="2" t="inlineStr">
        <is>
          <t>Pick n Pay Trade</t>
        </is>
      </c>
      <c r="E36" s="2" t="inlineStr">
        <is>
          <t>Food &amp; Consumables</t>
        </is>
      </c>
      <c r="F36" s="2" t="n">
        <v>35</v>
      </c>
      <c r="G36" s="2" t="n">
        <v>638.79</v>
      </c>
      <c r="H36" s="4">
        <f>F36*G36</f>
        <v/>
      </c>
      <c r="I36" s="5" t="n"/>
      <c r="J36" s="6">
        <f>TEXT(B36,"MMM YYYY")</f>
        <v/>
      </c>
      <c r="K36" s="6">
        <f>"Q"&amp;INT((MONTH(B36)-1)/3+1)&amp;" "&amp;YEAR(B36)</f>
        <v/>
      </c>
    </row>
    <row r="37">
      <c r="A37" s="7" t="inlineStr">
        <is>
          <t>PO-10036</t>
        </is>
      </c>
      <c r="B37" s="8" t="n">
        <v>45341</v>
      </c>
      <c r="C37" s="8" t="n">
        <v>45357</v>
      </c>
      <c r="D37" s="7" t="inlineStr">
        <is>
          <t>Tiger Brands</t>
        </is>
      </c>
      <c r="E37" s="7" t="inlineStr">
        <is>
          <t>Food &amp; Consumables</t>
        </is>
      </c>
      <c r="F37" s="7" t="n">
        <v>27</v>
      </c>
      <c r="G37" s="7" t="n">
        <v>897.3200000000001</v>
      </c>
      <c r="H37" s="9">
        <f>F37*G37</f>
        <v/>
      </c>
      <c r="I37" s="5" t="n"/>
      <c r="J37" s="10">
        <f>TEXT(B37,"MMM YYYY")</f>
        <v/>
      </c>
      <c r="K37" s="10">
        <f>"Q"&amp;INT((MONTH(B37)-1)/3+1)&amp;" "&amp;YEAR(B37)</f>
        <v/>
      </c>
    </row>
    <row r="38">
      <c r="A38" s="2" t="inlineStr">
        <is>
          <t>PO-10037</t>
        </is>
      </c>
      <c r="B38" s="3" t="n">
        <v>45319</v>
      </c>
      <c r="C38" s="3" t="n">
        <v>45325</v>
      </c>
      <c r="D38" s="2" t="inlineStr">
        <is>
          <t>Nashua Office</t>
        </is>
      </c>
      <c r="E38" s="2" t="inlineStr">
        <is>
          <t>IT &amp; Electronics</t>
        </is>
      </c>
      <c r="F38" s="2" t="n">
        <v>30</v>
      </c>
      <c r="G38" s="2" t="n">
        <v>3894.07</v>
      </c>
      <c r="H38" s="4">
        <f>F38*G38</f>
        <v/>
      </c>
      <c r="I38" s="5" t="n"/>
      <c r="J38" s="6">
        <f>TEXT(B38,"MMM YYYY")</f>
        <v/>
      </c>
      <c r="K38" s="6">
        <f>"Q"&amp;INT((MONTH(B38)-1)/3+1)&amp;" "&amp;YEAR(B38)</f>
        <v/>
      </c>
    </row>
    <row r="39">
      <c r="A39" s="7" t="inlineStr">
        <is>
          <t>PO-10038</t>
        </is>
      </c>
      <c r="B39" s="8" t="n">
        <v>45389</v>
      </c>
      <c r="C39" s="8" t="n">
        <v>45409</v>
      </c>
      <c r="D39" s="7" t="inlineStr">
        <is>
          <t>Builders Warehouse</t>
        </is>
      </c>
      <c r="E39" s="7" t="inlineStr">
        <is>
          <t>Facilities &amp; Maintenance</t>
        </is>
      </c>
      <c r="F39" s="7" t="n">
        <v>7</v>
      </c>
      <c r="G39" s="7" t="n">
        <v>1156.52</v>
      </c>
      <c r="H39" s="9">
        <f>F39*G39</f>
        <v/>
      </c>
      <c r="I39" s="5" t="n"/>
      <c r="J39" s="10">
        <f>TEXT(B39,"MMM YYYY")</f>
        <v/>
      </c>
      <c r="K39" s="10">
        <f>"Q"&amp;INT((MONTH(B39)-1)/3+1)&amp;" "&amp;YEAR(B39)</f>
        <v/>
      </c>
    </row>
    <row r="40">
      <c r="A40" s="2" t="inlineStr">
        <is>
          <t>PO-10039</t>
        </is>
      </c>
      <c r="B40" s="3" t="n">
        <v>45419</v>
      </c>
      <c r="C40" s="3" t="n">
        <v>45424</v>
      </c>
      <c r="D40" s="2" t="inlineStr">
        <is>
          <t>Nashua Office</t>
        </is>
      </c>
      <c r="E40" s="2" t="inlineStr">
        <is>
          <t>IT &amp; Electronics</t>
        </is>
      </c>
      <c r="F40" s="2" t="n">
        <v>12</v>
      </c>
      <c r="G40" s="2" t="n">
        <v>1289.53</v>
      </c>
      <c r="H40" s="4">
        <f>F40*G40</f>
        <v/>
      </c>
      <c r="I40" s="5" t="n"/>
      <c r="J40" s="6">
        <f>TEXT(B40,"MMM YYYY")</f>
        <v/>
      </c>
      <c r="K40" s="6">
        <f>"Q"&amp;INT((MONTH(B40)-1)/3+1)&amp;" "&amp;YEAR(B40)</f>
        <v/>
      </c>
    </row>
    <row r="41">
      <c r="A41" s="7" t="inlineStr">
        <is>
          <t>PO-10040</t>
        </is>
      </c>
      <c r="B41" s="8" t="n">
        <v>45568</v>
      </c>
      <c r="C41" s="8" t="n">
        <v>45571</v>
      </c>
      <c r="D41" s="7" t="inlineStr">
        <is>
          <t>Staples SA</t>
        </is>
      </c>
      <c r="E41" s="7" t="inlineStr">
        <is>
          <t>Office Supplies</t>
        </is>
      </c>
      <c r="F41" s="7" t="n">
        <v>7</v>
      </c>
      <c r="G41" s="7" t="n">
        <v>275.12</v>
      </c>
      <c r="H41" s="9">
        <f>F41*G41</f>
        <v/>
      </c>
      <c r="I41" s="12" t="n"/>
      <c r="J41" s="10">
        <f>TEXT(B41,"MMM YYYY")</f>
        <v/>
      </c>
      <c r="K41" s="10">
        <f>"Q"&amp;INT((MONTH(B41)-1)/3+1)&amp;" "&amp;YEAR(B41)</f>
        <v/>
      </c>
    </row>
    <row r="42">
      <c r="A42" s="2" t="inlineStr">
        <is>
          <t>PO-10041</t>
        </is>
      </c>
      <c r="B42" s="3" t="n">
        <v>45538</v>
      </c>
      <c r="C42" s="3" t="n">
        <v>45547</v>
      </c>
      <c r="D42" s="2" t="inlineStr">
        <is>
          <t>Pick n Pay Trade</t>
        </is>
      </c>
      <c r="E42" s="2" t="inlineStr">
        <is>
          <t>Food &amp; Consumables</t>
        </is>
      </c>
      <c r="F42" s="2" t="n">
        <v>11</v>
      </c>
      <c r="G42" s="2" t="n">
        <v>1858.54</v>
      </c>
      <c r="H42" s="4">
        <f>F42*G42</f>
        <v/>
      </c>
      <c r="I42" s="11" t="n"/>
      <c r="J42" s="6">
        <f>TEXT(B42,"MMM YYYY")</f>
        <v/>
      </c>
      <c r="K42" s="6">
        <f>"Q"&amp;INT((MONTH(B42)-1)/3+1)&amp;" "&amp;YEAR(B42)</f>
        <v/>
      </c>
    </row>
    <row r="43">
      <c r="A43" s="7" t="inlineStr">
        <is>
          <t>PO-10042</t>
        </is>
      </c>
      <c r="B43" s="8" t="n">
        <v>45491</v>
      </c>
      <c r="C43" s="8" t="n">
        <v>45502</v>
      </c>
      <c r="D43" s="7" t="inlineStr">
        <is>
          <t>Makro SA</t>
        </is>
      </c>
      <c r="E43" s="7" t="inlineStr">
        <is>
          <t>Office Supplies</t>
        </is>
      </c>
      <c r="F43" s="7" t="n">
        <v>11</v>
      </c>
      <c r="G43" s="7" t="n">
        <v>1736.43</v>
      </c>
      <c r="H43" s="9">
        <f>F43*G43</f>
        <v/>
      </c>
      <c r="I43" s="11" t="n"/>
      <c r="J43" s="10">
        <f>TEXT(B43,"MMM YYYY")</f>
        <v/>
      </c>
      <c r="K43" s="10">
        <f>"Q"&amp;INT((MONTH(B43)-1)/3+1)&amp;" "&amp;YEAR(B43)</f>
        <v/>
      </c>
    </row>
    <row r="44">
      <c r="A44" s="2" t="inlineStr">
        <is>
          <t>PO-10043</t>
        </is>
      </c>
      <c r="B44" s="3" t="n">
        <v>45576</v>
      </c>
      <c r="C44" s="3" t="n">
        <v>45594</v>
      </c>
      <c r="D44" s="2" t="inlineStr">
        <is>
          <t>Tiger Brands</t>
        </is>
      </c>
      <c r="E44" s="2" t="inlineStr">
        <is>
          <t>Food &amp; Consumables</t>
        </is>
      </c>
      <c r="F44" s="2" t="n">
        <v>19</v>
      </c>
      <c r="G44" s="2" t="n">
        <v>1932.38</v>
      </c>
      <c r="H44" s="4">
        <f>F44*G44</f>
        <v/>
      </c>
      <c r="I44" s="5" t="n"/>
      <c r="J44" s="6">
        <f>TEXT(B44,"MMM YYYY")</f>
        <v/>
      </c>
      <c r="K44" s="6">
        <f>"Q"&amp;INT((MONTH(B44)-1)/3+1)&amp;" "&amp;YEAR(B44)</f>
        <v/>
      </c>
    </row>
    <row r="45">
      <c r="A45" s="7" t="inlineStr">
        <is>
          <t>PO-10044</t>
        </is>
      </c>
      <c r="B45" s="8" t="n">
        <v>45588</v>
      </c>
      <c r="C45" s="8" t="n">
        <v>45608</v>
      </c>
      <c r="D45" s="7" t="inlineStr">
        <is>
          <t>Rand Merchant Print</t>
        </is>
      </c>
      <c r="E45" s="7" t="inlineStr">
        <is>
          <t>Marketing &amp; Print</t>
        </is>
      </c>
      <c r="F45" s="7" t="n">
        <v>14</v>
      </c>
      <c r="G45" s="7" t="n">
        <v>4360.76</v>
      </c>
      <c r="H45" s="9">
        <f>F45*G45</f>
        <v/>
      </c>
      <c r="I45" s="5" t="n"/>
      <c r="J45" s="10">
        <f>TEXT(B45,"MMM YYYY")</f>
        <v/>
      </c>
      <c r="K45" s="10">
        <f>"Q"&amp;INT((MONTH(B45)-1)/3+1)&amp;" "&amp;YEAR(B45)</f>
        <v/>
      </c>
    </row>
    <row r="46">
      <c r="A46" s="2" t="inlineStr">
        <is>
          <t>PO-10045</t>
        </is>
      </c>
      <c r="B46" s="3" t="n">
        <v>45536</v>
      </c>
      <c r="C46" s="3" t="n">
        <v>45555</v>
      </c>
      <c r="D46" s="2" t="inlineStr">
        <is>
          <t>Builders Warehouse</t>
        </is>
      </c>
      <c r="E46" s="2" t="inlineStr">
        <is>
          <t>Facilities &amp; Maintenance</t>
        </is>
      </c>
      <c r="F46" s="2" t="n">
        <v>4</v>
      </c>
      <c r="G46" s="2" t="n">
        <v>273.13</v>
      </c>
      <c r="H46" s="4">
        <f>F46*G46</f>
        <v/>
      </c>
      <c r="I46" s="11" t="n"/>
      <c r="J46" s="6">
        <f>TEXT(B46,"MMM YYYY")</f>
        <v/>
      </c>
      <c r="K46" s="6">
        <f>"Q"&amp;INT((MONTH(B46)-1)/3+1)&amp;" "&amp;YEAR(B46)</f>
        <v/>
      </c>
    </row>
    <row r="47">
      <c r="A47" s="7" t="inlineStr">
        <is>
          <t>PO-10046</t>
        </is>
      </c>
      <c r="B47" s="8" t="n">
        <v>45552</v>
      </c>
      <c r="C47" s="8" t="n">
        <v>45557</v>
      </c>
      <c r="D47" s="7" t="inlineStr">
        <is>
          <t>Staples SA</t>
        </is>
      </c>
      <c r="E47" s="7" t="inlineStr">
        <is>
          <t>Office Supplies</t>
        </is>
      </c>
      <c r="F47" s="7" t="n">
        <v>11</v>
      </c>
      <c r="G47" s="7" t="n">
        <v>303.11</v>
      </c>
      <c r="H47" s="9">
        <f>F47*G47</f>
        <v/>
      </c>
      <c r="I47" s="11" t="n"/>
      <c r="J47" s="10">
        <f>TEXT(B47,"MMM YYYY")</f>
        <v/>
      </c>
      <c r="K47" s="10">
        <f>"Q"&amp;INT((MONTH(B47)-1)/3+1)&amp;" "&amp;YEAR(B47)</f>
        <v/>
      </c>
    </row>
    <row r="48">
      <c r="A48" s="2" t="inlineStr">
        <is>
          <t>PO-10047</t>
        </is>
      </c>
      <c r="B48" s="3" t="n">
        <v>45412</v>
      </c>
      <c r="C48" s="3" t="n">
        <v>45427</v>
      </c>
      <c r="D48" s="2" t="inlineStr">
        <is>
          <t>Bidvest Facilities</t>
        </is>
      </c>
      <c r="E48" s="2" t="inlineStr">
        <is>
          <t>Facilities &amp; Maintenance</t>
        </is>
      </c>
      <c r="F48" s="2" t="n">
        <v>39</v>
      </c>
      <c r="G48" s="2" t="n">
        <v>352.43</v>
      </c>
      <c r="H48" s="4">
        <f>F48*G48</f>
        <v/>
      </c>
      <c r="I48" s="5" t="n"/>
      <c r="J48" s="6">
        <f>TEXT(B48,"MMM YYYY")</f>
        <v/>
      </c>
      <c r="K48" s="6">
        <f>"Q"&amp;INT((MONTH(B48)-1)/3+1)&amp;" "&amp;YEAR(B48)</f>
        <v/>
      </c>
    </row>
    <row r="49">
      <c r="A49" s="7" t="inlineStr">
        <is>
          <t>PO-10048</t>
        </is>
      </c>
      <c r="B49" s="8" t="n">
        <v>45312</v>
      </c>
      <c r="C49" s="8" t="n">
        <v>45317</v>
      </c>
      <c r="D49" s="7" t="inlineStr">
        <is>
          <t>Digitec SA</t>
        </is>
      </c>
      <c r="E49" s="7" t="inlineStr">
        <is>
          <t>Marketing &amp; Print</t>
        </is>
      </c>
      <c r="F49" s="7" t="n">
        <v>16</v>
      </c>
      <c r="G49" s="7" t="n">
        <v>2626.19</v>
      </c>
      <c r="H49" s="9">
        <f>F49*G49</f>
        <v/>
      </c>
      <c r="I49" s="5" t="n"/>
      <c r="J49" s="10">
        <f>TEXT(B49,"MMM YYYY")</f>
        <v/>
      </c>
      <c r="K49" s="10">
        <f>"Q"&amp;INT((MONTH(B49)-1)/3+1)&amp;" "&amp;YEAR(B49)</f>
        <v/>
      </c>
    </row>
    <row r="50">
      <c r="A50" s="2" t="inlineStr">
        <is>
          <t>PO-10049</t>
        </is>
      </c>
      <c r="B50" s="3" t="n">
        <v>45425</v>
      </c>
      <c r="C50" s="3" t="n">
        <v>45434</v>
      </c>
      <c r="D50" s="2" t="inlineStr">
        <is>
          <t>Digitec SA</t>
        </is>
      </c>
      <c r="E50" s="2" t="inlineStr">
        <is>
          <t>Marketing &amp; Print</t>
        </is>
      </c>
      <c r="F50" s="2" t="n">
        <v>37</v>
      </c>
      <c r="G50" s="2" t="n">
        <v>2376.38</v>
      </c>
      <c r="H50" s="4">
        <f>F50*G50</f>
        <v/>
      </c>
      <c r="I50" s="5" t="n"/>
      <c r="J50" s="6">
        <f>TEXT(B50,"MMM YYYY")</f>
        <v/>
      </c>
      <c r="K50" s="6">
        <f>"Q"&amp;INT((MONTH(B50)-1)/3+1)&amp;" "&amp;YEAR(B50)</f>
        <v/>
      </c>
    </row>
    <row r="51">
      <c r="A51" s="7" t="inlineStr">
        <is>
          <t>PO-10050</t>
        </is>
      </c>
      <c r="B51" s="8" t="n">
        <v>45359</v>
      </c>
      <c r="C51" s="8" t="n">
        <v>45371</v>
      </c>
      <c r="D51" s="7" t="inlineStr">
        <is>
          <t>Builders Warehouse</t>
        </is>
      </c>
      <c r="E51" s="7" t="inlineStr">
        <is>
          <t>Facilities &amp; Maintenance</t>
        </is>
      </c>
      <c r="F51" s="7" t="n">
        <v>16</v>
      </c>
      <c r="G51" s="7" t="n">
        <v>1231.98</v>
      </c>
      <c r="H51" s="9">
        <f>F51*G51</f>
        <v/>
      </c>
      <c r="I51" s="5" t="n"/>
      <c r="J51" s="10">
        <f>TEXT(B51,"MMM YYYY")</f>
        <v/>
      </c>
      <c r="K51" s="10">
        <f>"Q"&amp;INT((MONTH(B51)-1)/3+1)&amp;" "&amp;YEAR(B51)</f>
        <v/>
      </c>
    </row>
    <row r="52">
      <c r="A52" s="2" t="inlineStr">
        <is>
          <t>PO-10051</t>
        </is>
      </c>
      <c r="B52" s="3" t="n">
        <v>45580</v>
      </c>
      <c r="C52" s="3" t="n">
        <v>45586</v>
      </c>
      <c r="D52" s="2" t="inlineStr">
        <is>
          <t>Bidvest Facilities</t>
        </is>
      </c>
      <c r="E52" s="2" t="inlineStr">
        <is>
          <t>Facilities &amp; Maintenance</t>
        </is>
      </c>
      <c r="F52" s="2" t="n">
        <v>1</v>
      </c>
      <c r="G52" s="2" t="n">
        <v>2089.37</v>
      </c>
      <c r="H52" s="4">
        <f>F52*G52</f>
        <v/>
      </c>
      <c r="I52" s="5" t="n"/>
      <c r="J52" s="6">
        <f>TEXT(B52,"MMM YYYY")</f>
        <v/>
      </c>
      <c r="K52" s="6">
        <f>"Q"&amp;INT((MONTH(B52)-1)/3+1)&amp;" "&amp;YEAR(B52)</f>
        <v/>
      </c>
    </row>
    <row r="53">
      <c r="A53" s="7" t="inlineStr">
        <is>
          <t>PO-10052</t>
        </is>
      </c>
      <c r="B53" s="8" t="n">
        <v>45470</v>
      </c>
      <c r="C53" s="8" t="n">
        <v>45475</v>
      </c>
      <c r="D53" s="7" t="inlineStr">
        <is>
          <t>Pick n Pay Trade</t>
        </is>
      </c>
      <c r="E53" s="7" t="inlineStr">
        <is>
          <t>Food &amp; Consumables</t>
        </is>
      </c>
      <c r="F53" s="7" t="n">
        <v>33</v>
      </c>
      <c r="G53" s="7" t="n">
        <v>1230.14</v>
      </c>
      <c r="H53" s="9">
        <f>F53*G53</f>
        <v/>
      </c>
      <c r="I53" s="11" t="n"/>
      <c r="J53" s="10">
        <f>TEXT(B53,"MMM YYYY")</f>
        <v/>
      </c>
      <c r="K53" s="10">
        <f>"Q"&amp;INT((MONTH(B53)-1)/3+1)&amp;" "&amp;YEAR(B53)</f>
        <v/>
      </c>
    </row>
    <row r="54">
      <c r="A54" s="2" t="inlineStr">
        <is>
          <t>PO-10053</t>
        </is>
      </c>
      <c r="B54" s="3" t="n">
        <v>45570</v>
      </c>
      <c r="C54" s="3" t="n">
        <v>45582</v>
      </c>
      <c r="D54" s="2" t="inlineStr">
        <is>
          <t>Builders Warehouse</t>
        </is>
      </c>
      <c r="E54" s="2" t="inlineStr">
        <is>
          <t>Facilities &amp; Maintenance</t>
        </is>
      </c>
      <c r="F54" s="2" t="n">
        <v>19</v>
      </c>
      <c r="G54" s="2" t="n">
        <v>751.97</v>
      </c>
      <c r="H54" s="4">
        <f>F54*G54</f>
        <v/>
      </c>
      <c r="I54" s="5" t="n"/>
      <c r="J54" s="6">
        <f>TEXT(B54,"MMM YYYY")</f>
        <v/>
      </c>
      <c r="K54" s="6">
        <f>"Q"&amp;INT((MONTH(B54)-1)/3+1)&amp;" "&amp;YEAR(B54)</f>
        <v/>
      </c>
    </row>
    <row r="55">
      <c r="A55" s="7" t="inlineStr">
        <is>
          <t>PO-10054</t>
        </is>
      </c>
      <c r="B55" s="8" t="n">
        <v>45575</v>
      </c>
      <c r="C55" s="8" t="n">
        <v>45587</v>
      </c>
      <c r="D55" s="7" t="inlineStr">
        <is>
          <t>Staples SA</t>
        </is>
      </c>
      <c r="E55" s="7" t="inlineStr">
        <is>
          <t>Office Supplies</t>
        </is>
      </c>
      <c r="F55" s="7" t="n">
        <v>1</v>
      </c>
      <c r="G55" s="7" t="n">
        <v>3021.99</v>
      </c>
      <c r="H55" s="9">
        <f>F55*G55</f>
        <v/>
      </c>
      <c r="I55" s="11" t="n"/>
      <c r="J55" s="10">
        <f>TEXT(B55,"MMM YYYY")</f>
        <v/>
      </c>
      <c r="K55" s="10">
        <f>"Q"&amp;INT((MONTH(B55)-1)/3+1)&amp;" "&amp;YEAR(B55)</f>
        <v/>
      </c>
    </row>
    <row r="56">
      <c r="A56" s="2" t="inlineStr">
        <is>
          <t>PO-10055</t>
        </is>
      </c>
      <c r="B56" s="3" t="n">
        <v>45346</v>
      </c>
      <c r="C56" s="3" t="n">
        <v>45366</v>
      </c>
      <c r="D56" s="2" t="inlineStr">
        <is>
          <t>Bidvest Facilities</t>
        </is>
      </c>
      <c r="E56" s="2" t="inlineStr">
        <is>
          <t>Facilities &amp; Maintenance</t>
        </is>
      </c>
      <c r="F56" s="2" t="n">
        <v>9</v>
      </c>
      <c r="G56" s="2" t="n">
        <v>1226.87</v>
      </c>
      <c r="H56" s="4">
        <f>F56*G56</f>
        <v/>
      </c>
      <c r="I56" s="5" t="n"/>
      <c r="J56" s="6">
        <f>TEXT(B56,"MMM YYYY")</f>
        <v/>
      </c>
      <c r="K56" s="6">
        <f>"Q"&amp;INT((MONTH(B56)-1)/3+1)&amp;" "&amp;YEAR(B56)</f>
        <v/>
      </c>
    </row>
    <row r="57">
      <c r="A57" s="7" t="inlineStr">
        <is>
          <t>PO-10056</t>
        </is>
      </c>
      <c r="B57" s="8" t="n">
        <v>45467</v>
      </c>
      <c r="C57" s="8" t="n">
        <v>45476</v>
      </c>
      <c r="D57" s="7" t="inlineStr">
        <is>
          <t>Rand Merchant Print</t>
        </is>
      </c>
      <c r="E57" s="7" t="inlineStr">
        <is>
          <t>Marketing &amp; Print</t>
        </is>
      </c>
      <c r="F57" s="7" t="n">
        <v>39</v>
      </c>
      <c r="G57" s="7" t="n">
        <v>987.3</v>
      </c>
      <c r="H57" s="9">
        <f>F57*G57</f>
        <v/>
      </c>
      <c r="I57" s="5" t="n"/>
      <c r="J57" s="10">
        <f>TEXT(B57,"MMM YYYY")</f>
        <v/>
      </c>
      <c r="K57" s="10">
        <f>"Q"&amp;INT((MONTH(B57)-1)/3+1)&amp;" "&amp;YEAR(B57)</f>
        <v/>
      </c>
    </row>
    <row r="58">
      <c r="A58" s="2" t="inlineStr">
        <is>
          <t>PO-10057</t>
        </is>
      </c>
      <c r="B58" s="3" t="n">
        <v>45318</v>
      </c>
      <c r="C58" s="3" t="n">
        <v>45323</v>
      </c>
      <c r="D58" s="2" t="inlineStr">
        <is>
          <t>Rand Merchant Print</t>
        </is>
      </c>
      <c r="E58" s="2" t="inlineStr">
        <is>
          <t>Marketing &amp; Print</t>
        </is>
      </c>
      <c r="F58" s="2" t="n">
        <v>33</v>
      </c>
      <c r="G58" s="2" t="n">
        <v>2223.97</v>
      </c>
      <c r="H58" s="4">
        <f>F58*G58</f>
        <v/>
      </c>
      <c r="I58" s="5" t="n"/>
      <c r="J58" s="6">
        <f>TEXT(B58,"MMM YYYY")</f>
        <v/>
      </c>
      <c r="K58" s="6">
        <f>"Q"&amp;INT((MONTH(B58)-1)/3+1)&amp;" "&amp;YEAR(B58)</f>
        <v/>
      </c>
    </row>
    <row r="59">
      <c r="A59" s="7" t="inlineStr">
        <is>
          <t>PO-10058</t>
        </is>
      </c>
      <c r="B59" s="8" t="n">
        <v>45358</v>
      </c>
      <c r="C59" s="8" t="n">
        <v>45369</v>
      </c>
      <c r="D59" s="7" t="inlineStr">
        <is>
          <t>Rand Merchant Print</t>
        </is>
      </c>
      <c r="E59" s="7" t="inlineStr">
        <is>
          <t>Marketing &amp; Print</t>
        </is>
      </c>
      <c r="F59" s="7" t="n">
        <v>3</v>
      </c>
      <c r="G59" s="7" t="n">
        <v>65.78</v>
      </c>
      <c r="H59" s="9">
        <f>F59*G59</f>
        <v/>
      </c>
      <c r="I59" s="5" t="n"/>
      <c r="J59" s="10">
        <f>TEXT(B59,"MMM YYYY")</f>
        <v/>
      </c>
      <c r="K59" s="10">
        <f>"Q"&amp;INT((MONTH(B59)-1)/3+1)&amp;" "&amp;YEAR(B59)</f>
        <v/>
      </c>
    </row>
    <row r="60">
      <c r="A60" s="2" t="inlineStr">
        <is>
          <t>PO-10059</t>
        </is>
      </c>
      <c r="B60" s="3" t="n">
        <v>45579</v>
      </c>
      <c r="C60" s="3" t="n">
        <v>45582</v>
      </c>
      <c r="D60" s="2" t="inlineStr">
        <is>
          <t>Tiger Brands</t>
        </is>
      </c>
      <c r="E60" s="2" t="inlineStr">
        <is>
          <t>Food &amp; Consumables</t>
        </is>
      </c>
      <c r="F60" s="2" t="n">
        <v>36</v>
      </c>
      <c r="G60" s="2" t="n">
        <v>3190.22</v>
      </c>
      <c r="H60" s="4">
        <f>F60*G60</f>
        <v/>
      </c>
      <c r="I60" s="5" t="n"/>
      <c r="J60" s="6">
        <f>TEXT(B60,"MMM YYYY")</f>
        <v/>
      </c>
      <c r="K60" s="6">
        <f>"Q"&amp;INT((MONTH(B60)-1)/3+1)&amp;" "&amp;YEAR(B60)</f>
        <v/>
      </c>
    </row>
    <row r="61">
      <c r="A61" s="7" t="inlineStr">
        <is>
          <t>PO-10060</t>
        </is>
      </c>
      <c r="B61" s="8" t="n">
        <v>45481</v>
      </c>
      <c r="C61" s="8" t="n">
        <v>45502</v>
      </c>
      <c r="D61" s="7" t="inlineStr">
        <is>
          <t>Incredible Connection</t>
        </is>
      </c>
      <c r="E61" s="7" t="inlineStr">
        <is>
          <t>IT &amp; Electronics</t>
        </is>
      </c>
      <c r="F61" s="7" t="n">
        <v>35</v>
      </c>
      <c r="G61" s="7" t="n">
        <v>210.33</v>
      </c>
      <c r="H61" s="9">
        <f>F61*G61</f>
        <v/>
      </c>
      <c r="I61" s="5" t="n"/>
      <c r="J61" s="10">
        <f>TEXT(B61,"MMM YYYY")</f>
        <v/>
      </c>
      <c r="K61" s="10">
        <f>"Q"&amp;INT((MONTH(B61)-1)/3+1)&amp;" "&amp;YEAR(B61)</f>
        <v/>
      </c>
    </row>
    <row r="62">
      <c r="A62" s="2" t="inlineStr">
        <is>
          <t>PO-10061</t>
        </is>
      </c>
      <c r="B62" s="3" t="n">
        <v>45478</v>
      </c>
      <c r="C62" s="3" t="n">
        <v>45482</v>
      </c>
      <c r="D62" s="2" t="inlineStr">
        <is>
          <t>Nashua Office</t>
        </is>
      </c>
      <c r="E62" s="2" t="inlineStr">
        <is>
          <t>IT &amp; Electronics</t>
        </is>
      </c>
      <c r="F62" s="2" t="n">
        <v>9</v>
      </c>
      <c r="G62" s="2" t="n">
        <v>236.14</v>
      </c>
      <c r="H62" s="4">
        <f>F62*G62</f>
        <v/>
      </c>
      <c r="I62" s="11" t="n"/>
      <c r="J62" s="6">
        <f>TEXT(B62,"MMM YYYY")</f>
        <v/>
      </c>
      <c r="K62" s="6">
        <f>"Q"&amp;INT((MONTH(B62)-1)/3+1)&amp;" "&amp;YEAR(B62)</f>
        <v/>
      </c>
    </row>
    <row r="63">
      <c r="A63" s="7" t="inlineStr">
        <is>
          <t>PO-10062</t>
        </is>
      </c>
      <c r="B63" s="8" t="n">
        <v>45344</v>
      </c>
      <c r="C63" s="8" t="n">
        <v>45358</v>
      </c>
      <c r="D63" s="7" t="inlineStr">
        <is>
          <t>Pick n Pay Trade</t>
        </is>
      </c>
      <c r="E63" s="7" t="inlineStr">
        <is>
          <t>Food &amp; Consumables</t>
        </is>
      </c>
      <c r="F63" s="7" t="n">
        <v>44</v>
      </c>
      <c r="G63" s="7" t="n">
        <v>1160.41</v>
      </c>
      <c r="H63" s="9">
        <f>F63*G63</f>
        <v/>
      </c>
      <c r="I63" s="5" t="n"/>
      <c r="J63" s="10">
        <f>TEXT(B63,"MMM YYYY")</f>
        <v/>
      </c>
      <c r="K63" s="10">
        <f>"Q"&amp;INT((MONTH(B63)-1)/3+1)&amp;" "&amp;YEAR(B63)</f>
        <v/>
      </c>
    </row>
    <row r="64">
      <c r="A64" s="2" t="inlineStr">
        <is>
          <t>PO-10063</t>
        </is>
      </c>
      <c r="B64" s="3" t="n">
        <v>45413</v>
      </c>
      <c r="C64" s="3" t="n">
        <v>45421</v>
      </c>
      <c r="D64" s="2" t="inlineStr">
        <is>
          <t>Nashua Office</t>
        </is>
      </c>
      <c r="E64" s="2" t="inlineStr">
        <is>
          <t>IT &amp; Electronics</t>
        </is>
      </c>
      <c r="F64" s="2" t="n">
        <v>40</v>
      </c>
      <c r="G64" s="2" t="n">
        <v>3385.18</v>
      </c>
      <c r="H64" s="4">
        <f>F64*G64</f>
        <v/>
      </c>
      <c r="I64" s="12" t="n"/>
      <c r="J64" s="6">
        <f>TEXT(B64,"MMM YYYY")</f>
        <v/>
      </c>
      <c r="K64" s="6">
        <f>"Q"&amp;INT((MONTH(B64)-1)/3+1)&amp;" "&amp;YEAR(B64)</f>
        <v/>
      </c>
    </row>
    <row r="65">
      <c r="A65" s="7" t="inlineStr">
        <is>
          <t>PO-10064</t>
        </is>
      </c>
      <c r="B65" s="8" t="n">
        <v>45462</v>
      </c>
      <c r="C65" s="8" t="n">
        <v>45478</v>
      </c>
      <c r="D65" s="7" t="inlineStr">
        <is>
          <t>Incredible Connection</t>
        </is>
      </c>
      <c r="E65" s="7" t="inlineStr">
        <is>
          <t>IT &amp; Electronics</t>
        </is>
      </c>
      <c r="F65" s="7" t="n">
        <v>27</v>
      </c>
      <c r="G65" s="7" t="n">
        <v>160.3</v>
      </c>
      <c r="H65" s="9">
        <f>F65*G65</f>
        <v/>
      </c>
      <c r="I65" s="11" t="n"/>
      <c r="J65" s="10">
        <f>TEXT(B65,"MMM YYYY")</f>
        <v/>
      </c>
      <c r="K65" s="10">
        <f>"Q"&amp;INT((MONTH(B65)-1)/3+1)&amp;" "&amp;YEAR(B65)</f>
        <v/>
      </c>
    </row>
    <row r="66">
      <c r="A66" s="2" t="inlineStr">
        <is>
          <t>PO-10065</t>
        </is>
      </c>
      <c r="B66" s="3" t="n">
        <v>45651</v>
      </c>
      <c r="C66" s="3" t="n">
        <v>45657</v>
      </c>
      <c r="D66" s="2" t="inlineStr">
        <is>
          <t>Pick n Pay Trade</t>
        </is>
      </c>
      <c r="E66" s="2" t="inlineStr">
        <is>
          <t>Food &amp; Consumables</t>
        </is>
      </c>
      <c r="F66" s="2" t="n">
        <v>18</v>
      </c>
      <c r="G66" s="2" t="n">
        <v>758.4299999999999</v>
      </c>
      <c r="H66" s="4">
        <f>F66*G66</f>
        <v/>
      </c>
      <c r="I66" s="5" t="n"/>
      <c r="J66" s="6">
        <f>TEXT(B66,"MMM YYYY")</f>
        <v/>
      </c>
      <c r="K66" s="6">
        <f>"Q"&amp;INT((MONTH(B66)-1)/3+1)&amp;" "&amp;YEAR(B66)</f>
        <v/>
      </c>
    </row>
    <row r="67">
      <c r="A67" s="7" t="inlineStr">
        <is>
          <t>PO-10066</t>
        </is>
      </c>
      <c r="B67" s="8" t="n">
        <v>45527</v>
      </c>
      <c r="C67" s="8" t="n">
        <v>45541</v>
      </c>
      <c r="D67" s="7" t="inlineStr">
        <is>
          <t>Makro SA</t>
        </is>
      </c>
      <c r="E67" s="7" t="inlineStr">
        <is>
          <t>Office Supplies</t>
        </is>
      </c>
      <c r="F67" s="7" t="n">
        <v>31</v>
      </c>
      <c r="G67" s="7" t="n">
        <v>1039.83</v>
      </c>
      <c r="H67" s="9">
        <f>F67*G67</f>
        <v/>
      </c>
      <c r="I67" s="5" t="n"/>
      <c r="J67" s="10">
        <f>TEXT(B67,"MMM YYYY")</f>
        <v/>
      </c>
      <c r="K67" s="10">
        <f>"Q"&amp;INT((MONTH(B67)-1)/3+1)&amp;" "&amp;YEAR(B67)</f>
        <v/>
      </c>
    </row>
    <row r="68">
      <c r="A68" s="2" t="inlineStr">
        <is>
          <t>PO-10067</t>
        </is>
      </c>
      <c r="B68" s="3" t="n">
        <v>45390</v>
      </c>
      <c r="C68" s="3" t="n">
        <v>45405</v>
      </c>
      <c r="D68" s="2" t="inlineStr">
        <is>
          <t>Pick n Pay Trade</t>
        </is>
      </c>
      <c r="E68" s="2" t="inlineStr">
        <is>
          <t>Food &amp; Consumables</t>
        </is>
      </c>
      <c r="F68" s="2" t="n">
        <v>15</v>
      </c>
      <c r="G68" s="2" t="n">
        <v>155.31</v>
      </c>
      <c r="H68" s="4">
        <f>F68*G68</f>
        <v/>
      </c>
      <c r="I68" s="5" t="n"/>
      <c r="J68" s="6">
        <f>TEXT(B68,"MMM YYYY")</f>
        <v/>
      </c>
      <c r="K68" s="6">
        <f>"Q"&amp;INT((MONTH(B68)-1)/3+1)&amp;" "&amp;YEAR(B68)</f>
        <v/>
      </c>
    </row>
    <row r="69">
      <c r="A69" s="7" t="inlineStr">
        <is>
          <t>PO-10068</t>
        </is>
      </c>
      <c r="B69" s="8" t="n">
        <v>45620</v>
      </c>
      <c r="C69" s="8" t="n">
        <v>45639</v>
      </c>
      <c r="D69" s="7" t="inlineStr">
        <is>
          <t>Bidvest Facilities</t>
        </is>
      </c>
      <c r="E69" s="7" t="inlineStr">
        <is>
          <t>Facilities &amp; Maintenance</t>
        </is>
      </c>
      <c r="F69" s="7" t="n">
        <v>50</v>
      </c>
      <c r="G69" s="7" t="n">
        <v>1292.11</v>
      </c>
      <c r="H69" s="9">
        <f>F69*G69</f>
        <v/>
      </c>
      <c r="I69" s="5" t="n"/>
      <c r="J69" s="10">
        <f>TEXT(B69,"MMM YYYY")</f>
        <v/>
      </c>
      <c r="K69" s="10">
        <f>"Q"&amp;INT((MONTH(B69)-1)/3+1)&amp;" "&amp;YEAR(B69)</f>
        <v/>
      </c>
    </row>
    <row r="70">
      <c r="A70" s="2" t="inlineStr">
        <is>
          <t>PO-10069</t>
        </is>
      </c>
      <c r="B70" s="3" t="n">
        <v>45351</v>
      </c>
      <c r="C70" s="3" t="n">
        <v>45362</v>
      </c>
      <c r="D70" s="2" t="inlineStr">
        <is>
          <t>Staples SA</t>
        </is>
      </c>
      <c r="E70" s="2" t="inlineStr">
        <is>
          <t>Office Supplies</t>
        </is>
      </c>
      <c r="F70" s="2" t="n">
        <v>22</v>
      </c>
      <c r="G70" s="2" t="n">
        <v>4229.61</v>
      </c>
      <c r="H70" s="4">
        <f>F70*G70</f>
        <v/>
      </c>
      <c r="I70" s="5" t="n"/>
      <c r="J70" s="6">
        <f>TEXT(B70,"MMM YYYY")</f>
        <v/>
      </c>
      <c r="K70" s="6">
        <f>"Q"&amp;INT((MONTH(B70)-1)/3+1)&amp;" "&amp;YEAR(B70)</f>
        <v/>
      </c>
    </row>
    <row r="71">
      <c r="A71" s="7" t="inlineStr">
        <is>
          <t>PO-10070</t>
        </is>
      </c>
      <c r="B71" s="8" t="n">
        <v>45514</v>
      </c>
      <c r="C71" s="8" t="n">
        <v>45528</v>
      </c>
      <c r="D71" s="7" t="inlineStr">
        <is>
          <t>Rand Merchant Print</t>
        </is>
      </c>
      <c r="E71" s="7" t="inlineStr">
        <is>
          <t>Marketing &amp; Print</t>
        </is>
      </c>
      <c r="F71" s="7" t="n">
        <v>3</v>
      </c>
      <c r="G71" s="7" t="n">
        <v>532.39</v>
      </c>
      <c r="H71" s="9">
        <f>F71*G71</f>
        <v/>
      </c>
      <c r="I71" s="5" t="n"/>
      <c r="J71" s="10">
        <f>TEXT(B71,"MMM YYYY")</f>
        <v/>
      </c>
      <c r="K71" s="10">
        <f>"Q"&amp;INT((MONTH(B71)-1)/3+1)&amp;" "&amp;YEAR(B71)</f>
        <v/>
      </c>
    </row>
    <row r="72">
      <c r="A72" s="2" t="inlineStr">
        <is>
          <t>PO-10071</t>
        </is>
      </c>
      <c r="B72" s="3" t="n">
        <v>45553</v>
      </c>
      <c r="C72" s="3" t="n">
        <v>45559</v>
      </c>
      <c r="D72" s="2" t="inlineStr">
        <is>
          <t>Builders Warehouse</t>
        </is>
      </c>
      <c r="E72" s="2" t="inlineStr">
        <is>
          <t>Facilities &amp; Maintenance</t>
        </is>
      </c>
      <c r="F72" s="2" t="n">
        <v>28</v>
      </c>
      <c r="G72" s="2" t="n">
        <v>2747.63</v>
      </c>
      <c r="H72" s="4">
        <f>F72*G72</f>
        <v/>
      </c>
      <c r="I72" s="5" t="n"/>
      <c r="J72" s="6">
        <f>TEXT(B72,"MMM YYYY")</f>
        <v/>
      </c>
      <c r="K72" s="6">
        <f>"Q"&amp;INT((MONTH(B72)-1)/3+1)&amp;" "&amp;YEAR(B72)</f>
        <v/>
      </c>
    </row>
    <row r="73">
      <c r="A73" s="7" t="inlineStr">
        <is>
          <t>PO-10072</t>
        </is>
      </c>
      <c r="B73" s="8" t="n">
        <v>45654</v>
      </c>
      <c r="C73" s="8" t="n">
        <v>45670</v>
      </c>
      <c r="D73" s="7" t="inlineStr">
        <is>
          <t>Digitec SA</t>
        </is>
      </c>
      <c r="E73" s="7" t="inlineStr">
        <is>
          <t>Marketing &amp; Print</t>
        </is>
      </c>
      <c r="F73" s="7" t="n">
        <v>13</v>
      </c>
      <c r="G73" s="7" t="n">
        <v>1183.52</v>
      </c>
      <c r="H73" s="9">
        <f>F73*G73</f>
        <v/>
      </c>
      <c r="I73" s="5" t="n"/>
      <c r="J73" s="10">
        <f>TEXT(B73,"MMM YYYY")</f>
        <v/>
      </c>
      <c r="K73" s="10">
        <f>"Q"&amp;INT((MONTH(B73)-1)/3+1)&amp;" "&amp;YEAR(B73)</f>
        <v/>
      </c>
    </row>
    <row r="74">
      <c r="A74" s="2" t="inlineStr">
        <is>
          <t>PO-10073</t>
        </is>
      </c>
      <c r="B74" s="3" t="n">
        <v>45635</v>
      </c>
      <c r="C74" s="3" t="n">
        <v>45644</v>
      </c>
      <c r="D74" s="2" t="inlineStr">
        <is>
          <t>Staples SA</t>
        </is>
      </c>
      <c r="E74" s="2" t="inlineStr">
        <is>
          <t>Office Supplies</t>
        </is>
      </c>
      <c r="F74" s="2" t="n">
        <v>44</v>
      </c>
      <c r="G74" s="2" t="n">
        <v>3251.46</v>
      </c>
      <c r="H74" s="4">
        <f>F74*G74</f>
        <v/>
      </c>
      <c r="I74" s="5" t="n"/>
      <c r="J74" s="6">
        <f>TEXT(B74,"MMM YYYY")</f>
        <v/>
      </c>
      <c r="K74" s="6">
        <f>"Q"&amp;INT((MONTH(B74)-1)/3+1)&amp;" "&amp;YEAR(B74)</f>
        <v/>
      </c>
    </row>
    <row r="75">
      <c r="A75" s="7" t="inlineStr">
        <is>
          <t>PO-10074</t>
        </is>
      </c>
      <c r="B75" s="8" t="n">
        <v>45611</v>
      </c>
      <c r="C75" s="8" t="n">
        <v>45624</v>
      </c>
      <c r="D75" s="7" t="inlineStr">
        <is>
          <t>Bidvest Facilities</t>
        </is>
      </c>
      <c r="E75" s="7" t="inlineStr">
        <is>
          <t>Facilities &amp; Maintenance</t>
        </is>
      </c>
      <c r="F75" s="7" t="n">
        <v>43</v>
      </c>
      <c r="G75" s="7" t="n">
        <v>4147.43</v>
      </c>
      <c r="H75" s="9">
        <f>F75*G75</f>
        <v/>
      </c>
      <c r="I75" s="5" t="n"/>
      <c r="J75" s="10">
        <f>TEXT(B75,"MMM YYYY")</f>
        <v/>
      </c>
      <c r="K75" s="10">
        <f>"Q"&amp;INT((MONTH(B75)-1)/3+1)&amp;" "&amp;YEAR(B75)</f>
        <v/>
      </c>
    </row>
    <row r="76">
      <c r="A76" s="2" t="inlineStr">
        <is>
          <t>PO-10075</t>
        </is>
      </c>
      <c r="B76" s="3" t="n">
        <v>45551</v>
      </c>
      <c r="C76" s="3" t="n">
        <v>45563</v>
      </c>
      <c r="D76" s="2" t="inlineStr">
        <is>
          <t>Bidvest Facilities</t>
        </is>
      </c>
      <c r="E76" s="2" t="inlineStr">
        <is>
          <t>Facilities &amp; Maintenance</t>
        </is>
      </c>
      <c r="F76" s="2" t="n">
        <v>47</v>
      </c>
      <c r="G76" s="2" t="n">
        <v>4055.21</v>
      </c>
      <c r="H76" s="4">
        <f>F76*G76</f>
        <v/>
      </c>
      <c r="I76" s="5" t="n"/>
      <c r="J76" s="6">
        <f>TEXT(B76,"MMM YYYY")</f>
        <v/>
      </c>
      <c r="K76" s="6">
        <f>"Q"&amp;INT((MONTH(B76)-1)/3+1)&amp;" "&amp;YEAR(B76)</f>
        <v/>
      </c>
    </row>
    <row r="77">
      <c r="A77" s="7" t="inlineStr">
        <is>
          <t>PO-10076</t>
        </is>
      </c>
      <c r="B77" s="8" t="n">
        <v>45575</v>
      </c>
      <c r="C77" s="8" t="n">
        <v>45582</v>
      </c>
      <c r="D77" s="7" t="inlineStr">
        <is>
          <t>Builders Warehouse</t>
        </is>
      </c>
      <c r="E77" s="7" t="inlineStr">
        <is>
          <t>Facilities &amp; Maintenance</t>
        </is>
      </c>
      <c r="F77" s="7" t="n">
        <v>26</v>
      </c>
      <c r="G77" s="7" t="n">
        <v>3152.58</v>
      </c>
      <c r="H77" s="9">
        <f>F77*G77</f>
        <v/>
      </c>
      <c r="I77" s="5" t="n"/>
      <c r="J77" s="10">
        <f>TEXT(B77,"MMM YYYY")</f>
        <v/>
      </c>
      <c r="K77" s="10">
        <f>"Q"&amp;INT((MONTH(B77)-1)/3+1)&amp;" "&amp;YEAR(B77)</f>
        <v/>
      </c>
    </row>
    <row r="78">
      <c r="A78" s="2" t="inlineStr">
        <is>
          <t>PO-10077</t>
        </is>
      </c>
      <c r="B78" s="3" t="n">
        <v>45381</v>
      </c>
      <c r="C78" s="3" t="n">
        <v>45402</v>
      </c>
      <c r="D78" s="2" t="inlineStr">
        <is>
          <t>Nashua Office</t>
        </is>
      </c>
      <c r="E78" s="2" t="inlineStr">
        <is>
          <t>IT &amp; Electronics</t>
        </is>
      </c>
      <c r="F78" s="2" t="n">
        <v>44</v>
      </c>
      <c r="G78" s="2" t="n">
        <v>3379.2</v>
      </c>
      <c r="H78" s="4">
        <f>F78*G78</f>
        <v/>
      </c>
      <c r="I78" s="5" t="n"/>
      <c r="J78" s="6">
        <f>TEXT(B78,"MMM YYYY")</f>
        <v/>
      </c>
      <c r="K78" s="6">
        <f>"Q"&amp;INT((MONTH(B78)-1)/3+1)&amp;" "&amp;YEAR(B78)</f>
        <v/>
      </c>
    </row>
    <row r="79">
      <c r="A79" s="7" t="inlineStr">
        <is>
          <t>PO-10078</t>
        </is>
      </c>
      <c r="B79" s="8" t="n">
        <v>45399</v>
      </c>
      <c r="C79" s="8" t="n">
        <v>45415</v>
      </c>
      <c r="D79" s="7" t="inlineStr">
        <is>
          <t>Staples SA</t>
        </is>
      </c>
      <c r="E79" s="7" t="inlineStr">
        <is>
          <t>Office Supplies</t>
        </is>
      </c>
      <c r="F79" s="7" t="n">
        <v>1</v>
      </c>
      <c r="G79" s="7" t="n">
        <v>1402.24</v>
      </c>
      <c r="H79" s="9">
        <f>F79*G79</f>
        <v/>
      </c>
      <c r="I79" s="5" t="n"/>
      <c r="J79" s="10">
        <f>TEXT(B79,"MMM YYYY")</f>
        <v/>
      </c>
      <c r="K79" s="10">
        <f>"Q"&amp;INT((MONTH(B79)-1)/3+1)&amp;" "&amp;YEAR(B79)</f>
        <v/>
      </c>
    </row>
    <row r="80">
      <c r="A80" s="2" t="inlineStr">
        <is>
          <t>PO-10079</t>
        </is>
      </c>
      <c r="B80" s="3" t="n">
        <v>45518</v>
      </c>
      <c r="C80" s="3" t="n">
        <v>45535</v>
      </c>
      <c r="D80" s="2" t="inlineStr">
        <is>
          <t>Digitec SA</t>
        </is>
      </c>
      <c r="E80" s="2" t="inlineStr">
        <is>
          <t>Marketing &amp; Print</t>
        </is>
      </c>
      <c r="F80" s="2" t="n">
        <v>42</v>
      </c>
      <c r="G80" s="2" t="n">
        <v>1484.01</v>
      </c>
      <c r="H80" s="4">
        <f>F80*G80</f>
        <v/>
      </c>
      <c r="I80" s="5" t="n"/>
      <c r="J80" s="6">
        <f>TEXT(B80,"MMM YYYY")</f>
        <v/>
      </c>
      <c r="K80" s="6">
        <f>"Q"&amp;INT((MONTH(B80)-1)/3+1)&amp;" "&amp;YEAR(B80)</f>
        <v/>
      </c>
    </row>
    <row r="81">
      <c r="A81" s="7" t="inlineStr">
        <is>
          <t>PO-10080</t>
        </is>
      </c>
      <c r="B81" s="8" t="n">
        <v>45378</v>
      </c>
      <c r="C81" s="8" t="n">
        <v>45383</v>
      </c>
      <c r="D81" s="7" t="inlineStr">
        <is>
          <t>Staples SA</t>
        </is>
      </c>
      <c r="E81" s="7" t="inlineStr">
        <is>
          <t>Office Supplies</t>
        </is>
      </c>
      <c r="F81" s="7" t="n">
        <v>31</v>
      </c>
      <c r="G81" s="7" t="n">
        <v>3582.12</v>
      </c>
      <c r="H81" s="9">
        <f>F81*G81</f>
        <v/>
      </c>
      <c r="I81" s="5" t="n"/>
      <c r="J81" s="10">
        <f>TEXT(B81,"MMM YYYY")</f>
        <v/>
      </c>
      <c r="K81" s="10">
        <f>"Q"&amp;INT((MONTH(B81)-1)/3+1)&amp;" "&amp;YEAR(B81)</f>
        <v/>
      </c>
    </row>
    <row r="82">
      <c r="A82" s="2" t="inlineStr">
        <is>
          <t>PO-10081</t>
        </is>
      </c>
      <c r="B82" s="3" t="n">
        <v>45412</v>
      </c>
      <c r="C82" s="3" t="n">
        <v>45424</v>
      </c>
      <c r="D82" s="2" t="inlineStr">
        <is>
          <t>Digitec SA</t>
        </is>
      </c>
      <c r="E82" s="2" t="inlineStr">
        <is>
          <t>Marketing &amp; Print</t>
        </is>
      </c>
      <c r="F82" s="2" t="n">
        <v>22</v>
      </c>
      <c r="G82" s="2" t="n">
        <v>465.57</v>
      </c>
      <c r="H82" s="4">
        <f>F82*G82</f>
        <v/>
      </c>
      <c r="I82" s="5" t="n"/>
      <c r="J82" s="6">
        <f>TEXT(B82,"MMM YYYY")</f>
        <v/>
      </c>
      <c r="K82" s="6">
        <f>"Q"&amp;INT((MONTH(B82)-1)/3+1)&amp;" "&amp;YEAR(B82)</f>
        <v/>
      </c>
    </row>
    <row r="83">
      <c r="A83" s="7" t="inlineStr">
        <is>
          <t>PO-10082</t>
        </is>
      </c>
      <c r="B83" s="8" t="n">
        <v>45417</v>
      </c>
      <c r="C83" s="8" t="n">
        <v>45435</v>
      </c>
      <c r="D83" s="7" t="inlineStr">
        <is>
          <t>Pick n Pay Trade</t>
        </is>
      </c>
      <c r="E83" s="7" t="inlineStr">
        <is>
          <t>Food &amp; Consumables</t>
        </is>
      </c>
      <c r="F83" s="7" t="n">
        <v>10</v>
      </c>
      <c r="G83" s="7" t="n">
        <v>158.69</v>
      </c>
      <c r="H83" s="9">
        <f>F83*G83</f>
        <v/>
      </c>
      <c r="I83" s="5" t="n"/>
      <c r="J83" s="10">
        <f>TEXT(B83,"MMM YYYY")</f>
        <v/>
      </c>
      <c r="K83" s="10">
        <f>"Q"&amp;INT((MONTH(B83)-1)/3+1)&amp;" "&amp;YEAR(B83)</f>
        <v/>
      </c>
    </row>
    <row r="84">
      <c r="A84" s="2" t="inlineStr">
        <is>
          <t>PO-10083</t>
        </is>
      </c>
      <c r="B84" s="3" t="n">
        <v>45614</v>
      </c>
      <c r="C84" s="3" t="n">
        <v>45635</v>
      </c>
      <c r="D84" s="2" t="inlineStr">
        <is>
          <t>Bidvest Facilities</t>
        </is>
      </c>
      <c r="E84" s="2" t="inlineStr">
        <is>
          <t>Facilities &amp; Maintenance</t>
        </is>
      </c>
      <c r="F84" s="2" t="n">
        <v>30</v>
      </c>
      <c r="G84" s="2" t="n">
        <v>1894.26</v>
      </c>
      <c r="H84" s="4">
        <f>F84*G84</f>
        <v/>
      </c>
      <c r="I84" s="5" t="n"/>
      <c r="J84" s="6">
        <f>TEXT(B84,"MMM YYYY")</f>
        <v/>
      </c>
      <c r="K84" s="6">
        <f>"Q"&amp;INT((MONTH(B84)-1)/3+1)&amp;" "&amp;YEAR(B84)</f>
        <v/>
      </c>
    </row>
    <row r="85">
      <c r="A85" s="7" t="inlineStr">
        <is>
          <t>PO-10084</t>
        </is>
      </c>
      <c r="B85" s="8" t="n">
        <v>45367</v>
      </c>
      <c r="C85" s="8" t="n">
        <v>45370</v>
      </c>
      <c r="D85" s="7" t="inlineStr">
        <is>
          <t>Nashua Office</t>
        </is>
      </c>
      <c r="E85" s="7" t="inlineStr">
        <is>
          <t>IT &amp; Electronics</t>
        </is>
      </c>
      <c r="F85" s="7" t="n">
        <v>32</v>
      </c>
      <c r="G85" s="7" t="n">
        <v>1828.46</v>
      </c>
      <c r="H85" s="9">
        <f>F85*G85</f>
        <v/>
      </c>
      <c r="I85" s="11" t="n"/>
      <c r="J85" s="10">
        <f>TEXT(B85,"MMM YYYY")</f>
        <v/>
      </c>
      <c r="K85" s="10">
        <f>"Q"&amp;INT((MONTH(B85)-1)/3+1)&amp;" "&amp;YEAR(B85)</f>
        <v/>
      </c>
    </row>
    <row r="86">
      <c r="A86" s="2" t="inlineStr">
        <is>
          <t>PO-10085</t>
        </is>
      </c>
      <c r="B86" s="3" t="n">
        <v>45382</v>
      </c>
      <c r="C86" s="3" t="n">
        <v>45401</v>
      </c>
      <c r="D86" s="2" t="inlineStr">
        <is>
          <t>Bidvest Facilities</t>
        </is>
      </c>
      <c r="E86" s="2" t="inlineStr">
        <is>
          <t>Facilities &amp; Maintenance</t>
        </is>
      </c>
      <c r="F86" s="2" t="n">
        <v>50</v>
      </c>
      <c r="G86" s="2" t="n">
        <v>1941.9</v>
      </c>
      <c r="H86" s="4">
        <f>F86*G86</f>
        <v/>
      </c>
      <c r="I86" s="5" t="n"/>
      <c r="J86" s="6">
        <f>TEXT(B86,"MMM YYYY")</f>
        <v/>
      </c>
      <c r="K86" s="6">
        <f>"Q"&amp;INT((MONTH(B86)-1)/3+1)&amp;" "&amp;YEAR(B86)</f>
        <v/>
      </c>
    </row>
    <row r="87">
      <c r="A87" s="7" t="inlineStr">
        <is>
          <t>PO-10086</t>
        </is>
      </c>
      <c r="B87" s="8" t="n">
        <v>45354</v>
      </c>
      <c r="C87" s="8" t="n">
        <v>45371</v>
      </c>
      <c r="D87" s="7" t="inlineStr">
        <is>
          <t>Staples SA</t>
        </is>
      </c>
      <c r="E87" s="7" t="inlineStr">
        <is>
          <t>Office Supplies</t>
        </is>
      </c>
      <c r="F87" s="7" t="n">
        <v>16</v>
      </c>
      <c r="G87" s="7" t="n">
        <v>4132.74</v>
      </c>
      <c r="H87" s="9">
        <f>F87*G87</f>
        <v/>
      </c>
      <c r="I87" s="5" t="n"/>
      <c r="J87" s="10">
        <f>TEXT(B87,"MMM YYYY")</f>
        <v/>
      </c>
      <c r="K87" s="10">
        <f>"Q"&amp;INT((MONTH(B87)-1)/3+1)&amp;" "&amp;YEAR(B87)</f>
        <v/>
      </c>
    </row>
    <row r="88">
      <c r="A88" s="2" t="inlineStr">
        <is>
          <t>PO-10087</t>
        </is>
      </c>
      <c r="B88" s="3" t="n">
        <v>45578</v>
      </c>
      <c r="C88" s="3" t="n">
        <v>45591</v>
      </c>
      <c r="D88" s="2" t="inlineStr">
        <is>
          <t>Tiger Brands</t>
        </is>
      </c>
      <c r="E88" s="2" t="inlineStr">
        <is>
          <t>Food &amp; Consumables</t>
        </is>
      </c>
      <c r="F88" s="2" t="n">
        <v>43</v>
      </c>
      <c r="G88" s="2" t="n">
        <v>2413.54</v>
      </c>
      <c r="H88" s="4">
        <f>F88*G88</f>
        <v/>
      </c>
      <c r="I88" s="12" t="n"/>
      <c r="J88" s="6">
        <f>TEXT(B88,"MMM YYYY")</f>
        <v/>
      </c>
      <c r="K88" s="6">
        <f>"Q"&amp;INT((MONTH(B88)-1)/3+1)&amp;" "&amp;YEAR(B88)</f>
        <v/>
      </c>
    </row>
    <row r="89">
      <c r="A89" s="7" t="inlineStr">
        <is>
          <t>PO-10088</t>
        </is>
      </c>
      <c r="B89" s="8" t="n">
        <v>45550</v>
      </c>
      <c r="C89" s="8" t="n">
        <v>45566</v>
      </c>
      <c r="D89" s="7" t="inlineStr">
        <is>
          <t>Tiger Brands</t>
        </is>
      </c>
      <c r="E89" s="7" t="inlineStr">
        <is>
          <t>Food &amp; Consumables</t>
        </is>
      </c>
      <c r="F89" s="7" t="n">
        <v>40</v>
      </c>
      <c r="G89" s="7" t="n">
        <v>3676.78</v>
      </c>
      <c r="H89" s="9">
        <f>F89*G89</f>
        <v/>
      </c>
      <c r="I89" s="11" t="n"/>
      <c r="J89" s="10">
        <f>TEXT(B89,"MMM YYYY")</f>
        <v/>
      </c>
      <c r="K89" s="10">
        <f>"Q"&amp;INT((MONTH(B89)-1)/3+1)&amp;" "&amp;YEAR(B89)</f>
        <v/>
      </c>
    </row>
    <row r="90">
      <c r="A90" s="2" t="inlineStr">
        <is>
          <t>PO-10089</t>
        </is>
      </c>
      <c r="B90" s="3" t="n">
        <v>45535</v>
      </c>
      <c r="C90" s="3" t="n">
        <v>45552</v>
      </c>
      <c r="D90" s="2" t="inlineStr">
        <is>
          <t>Staples SA</t>
        </is>
      </c>
      <c r="E90" s="2" t="inlineStr">
        <is>
          <t>Office Supplies</t>
        </is>
      </c>
      <c r="F90" s="2" t="n">
        <v>29</v>
      </c>
      <c r="G90" s="2" t="n">
        <v>4042.58</v>
      </c>
      <c r="H90" s="4">
        <f>F90*G90</f>
        <v/>
      </c>
      <c r="I90" s="5" t="n"/>
      <c r="J90" s="6">
        <f>TEXT(B90,"MMM YYYY")</f>
        <v/>
      </c>
      <c r="K90" s="6">
        <f>"Q"&amp;INT((MONTH(B90)-1)/3+1)&amp;" "&amp;YEAR(B90)</f>
        <v/>
      </c>
    </row>
    <row r="91">
      <c r="A91" s="7" t="inlineStr">
        <is>
          <t>PO-10090</t>
        </is>
      </c>
      <c r="B91" s="8" t="n">
        <v>45558</v>
      </c>
      <c r="C91" s="8" t="n">
        <v>45576</v>
      </c>
      <c r="D91" s="7" t="inlineStr">
        <is>
          <t>Pick n Pay Trade</t>
        </is>
      </c>
      <c r="E91" s="7" t="inlineStr">
        <is>
          <t>Food &amp; Consumables</t>
        </is>
      </c>
      <c r="F91" s="7" t="n">
        <v>41</v>
      </c>
      <c r="G91" s="7" t="n">
        <v>1284.04</v>
      </c>
      <c r="H91" s="9">
        <f>F91*G91</f>
        <v/>
      </c>
      <c r="I91" s="5" t="n"/>
      <c r="J91" s="10">
        <f>TEXT(B91,"MMM YYYY")</f>
        <v/>
      </c>
      <c r="K91" s="10">
        <f>"Q"&amp;INT((MONTH(B91)-1)/3+1)&amp;" "&amp;YEAR(B91)</f>
        <v/>
      </c>
    </row>
    <row r="92">
      <c r="A92" s="2" t="inlineStr">
        <is>
          <t>PO-10091</t>
        </is>
      </c>
      <c r="B92" s="3" t="n">
        <v>45438</v>
      </c>
      <c r="C92" s="3" t="n">
        <v>45448</v>
      </c>
      <c r="D92" s="2" t="inlineStr">
        <is>
          <t>Rand Merchant Print</t>
        </is>
      </c>
      <c r="E92" s="2" t="inlineStr">
        <is>
          <t>Marketing &amp; Print</t>
        </is>
      </c>
      <c r="F92" s="2" t="n">
        <v>29</v>
      </c>
      <c r="G92" s="2" t="n">
        <v>394.8</v>
      </c>
      <c r="H92" s="4">
        <f>F92*G92</f>
        <v/>
      </c>
      <c r="I92" s="5" t="n"/>
      <c r="J92" s="6">
        <f>TEXT(B92,"MMM YYYY")</f>
        <v/>
      </c>
      <c r="K92" s="6">
        <f>"Q"&amp;INT((MONTH(B92)-1)/3+1)&amp;" "&amp;YEAR(B92)</f>
        <v/>
      </c>
    </row>
    <row r="93">
      <c r="A93" s="7" t="inlineStr">
        <is>
          <t>PO-10092</t>
        </is>
      </c>
      <c r="B93" s="8" t="n">
        <v>45369</v>
      </c>
      <c r="C93" s="8" t="n">
        <v>45379</v>
      </c>
      <c r="D93" s="7" t="inlineStr">
        <is>
          <t>Builders Warehouse</t>
        </is>
      </c>
      <c r="E93" s="7" t="inlineStr">
        <is>
          <t>Facilities &amp; Maintenance</t>
        </is>
      </c>
      <c r="F93" s="7" t="n">
        <v>35</v>
      </c>
      <c r="G93" s="7" t="n">
        <v>408.57</v>
      </c>
      <c r="H93" s="9">
        <f>F93*G93</f>
        <v/>
      </c>
      <c r="I93" s="5" t="n"/>
      <c r="J93" s="10">
        <f>TEXT(B93,"MMM YYYY")</f>
        <v/>
      </c>
      <c r="K93" s="10">
        <f>"Q"&amp;INT((MONTH(B93)-1)/3+1)&amp;" "&amp;YEAR(B93)</f>
        <v/>
      </c>
    </row>
    <row r="94">
      <c r="A94" s="2" t="inlineStr">
        <is>
          <t>PO-10093</t>
        </is>
      </c>
      <c r="B94" s="3" t="n">
        <v>45504</v>
      </c>
      <c r="C94" s="3" t="n">
        <v>45520</v>
      </c>
      <c r="D94" s="2" t="inlineStr">
        <is>
          <t>Incredible Connection</t>
        </is>
      </c>
      <c r="E94" s="2" t="inlineStr">
        <is>
          <t>IT &amp; Electronics</t>
        </is>
      </c>
      <c r="F94" s="2" t="n">
        <v>46</v>
      </c>
      <c r="G94" s="2" t="n">
        <v>1002.09</v>
      </c>
      <c r="H94" s="4">
        <f>F94*G94</f>
        <v/>
      </c>
      <c r="I94" s="5" t="n"/>
      <c r="J94" s="6">
        <f>TEXT(B94,"MMM YYYY")</f>
        <v/>
      </c>
      <c r="K94" s="6">
        <f>"Q"&amp;INT((MONTH(B94)-1)/3+1)&amp;" "&amp;YEAR(B94)</f>
        <v/>
      </c>
    </row>
    <row r="95">
      <c r="A95" s="7" t="inlineStr">
        <is>
          <t>PO-10094</t>
        </is>
      </c>
      <c r="B95" s="8" t="n">
        <v>45507</v>
      </c>
      <c r="C95" s="8" t="n">
        <v>45522</v>
      </c>
      <c r="D95" s="7" t="inlineStr">
        <is>
          <t>Tiger Brands</t>
        </is>
      </c>
      <c r="E95" s="7" t="inlineStr">
        <is>
          <t>Food &amp; Consumables</t>
        </is>
      </c>
      <c r="F95" s="7" t="n">
        <v>27</v>
      </c>
      <c r="G95" s="7" t="n">
        <v>327.08</v>
      </c>
      <c r="H95" s="9">
        <f>F95*G95</f>
        <v/>
      </c>
      <c r="I95" s="11" t="n"/>
      <c r="J95" s="10">
        <f>TEXT(B95,"MMM YYYY")</f>
        <v/>
      </c>
      <c r="K95" s="10">
        <f>"Q"&amp;INT((MONTH(B95)-1)/3+1)&amp;" "&amp;YEAR(B95)</f>
        <v/>
      </c>
    </row>
    <row r="96">
      <c r="A96" s="2" t="inlineStr">
        <is>
          <t>PO-10095</t>
        </is>
      </c>
      <c r="B96" s="3" t="n">
        <v>45586</v>
      </c>
      <c r="C96" s="3" t="n">
        <v>45601</v>
      </c>
      <c r="D96" s="2" t="inlineStr">
        <is>
          <t>Digitec SA</t>
        </is>
      </c>
      <c r="E96" s="2" t="inlineStr">
        <is>
          <t>Marketing &amp; Print</t>
        </is>
      </c>
      <c r="F96" s="2" t="n">
        <v>45</v>
      </c>
      <c r="G96" s="2" t="n">
        <v>136.92</v>
      </c>
      <c r="H96" s="4">
        <f>F96*G96</f>
        <v/>
      </c>
      <c r="I96" s="5" t="n"/>
      <c r="J96" s="6">
        <f>TEXT(B96,"MMM YYYY")</f>
        <v/>
      </c>
      <c r="K96" s="6">
        <f>"Q"&amp;INT((MONTH(B96)-1)/3+1)&amp;" "&amp;YEAR(B96)</f>
        <v/>
      </c>
    </row>
    <row r="97">
      <c r="A97" s="7" t="inlineStr">
        <is>
          <t>PO-10096</t>
        </is>
      </c>
      <c r="B97" s="8" t="n">
        <v>45506</v>
      </c>
      <c r="C97" s="8" t="n">
        <v>45526</v>
      </c>
      <c r="D97" s="7" t="inlineStr">
        <is>
          <t>Builders Warehouse</t>
        </is>
      </c>
      <c r="E97" s="7" t="inlineStr">
        <is>
          <t>Facilities &amp; Maintenance</t>
        </is>
      </c>
      <c r="F97" s="7" t="n">
        <v>20</v>
      </c>
      <c r="G97" s="7" t="n">
        <v>3402.96</v>
      </c>
      <c r="H97" s="9">
        <f>F97*G97</f>
        <v/>
      </c>
      <c r="I97" s="5" t="n"/>
      <c r="J97" s="10">
        <f>TEXT(B97,"MMM YYYY")</f>
        <v/>
      </c>
      <c r="K97" s="10">
        <f>"Q"&amp;INT((MONTH(B97)-1)/3+1)&amp;" "&amp;YEAR(B97)</f>
        <v/>
      </c>
    </row>
    <row r="98">
      <c r="A98" s="2" t="inlineStr">
        <is>
          <t>PO-10097</t>
        </is>
      </c>
      <c r="B98" s="3" t="n">
        <v>45541</v>
      </c>
      <c r="C98" s="3" t="n">
        <v>45551</v>
      </c>
      <c r="D98" s="2" t="inlineStr">
        <is>
          <t>Staples SA</t>
        </is>
      </c>
      <c r="E98" s="2" t="inlineStr">
        <is>
          <t>Office Supplies</t>
        </is>
      </c>
      <c r="F98" s="2" t="n">
        <v>39</v>
      </c>
      <c r="G98" s="2" t="n">
        <v>4045.26</v>
      </c>
      <c r="H98" s="4">
        <f>F98*G98</f>
        <v/>
      </c>
      <c r="I98" s="5" t="n"/>
      <c r="J98" s="6">
        <f>TEXT(B98,"MMM YYYY")</f>
        <v/>
      </c>
      <c r="K98" s="6">
        <f>"Q"&amp;INT((MONTH(B98)-1)/3+1)&amp;" "&amp;YEAR(B98)</f>
        <v/>
      </c>
    </row>
    <row r="99">
      <c r="A99" s="7" t="inlineStr">
        <is>
          <t>PO-10098</t>
        </is>
      </c>
      <c r="B99" s="8" t="n">
        <v>45634</v>
      </c>
      <c r="C99" s="8" t="n">
        <v>45649</v>
      </c>
      <c r="D99" s="7" t="inlineStr">
        <is>
          <t>Tiger Brands</t>
        </is>
      </c>
      <c r="E99" s="7" t="inlineStr">
        <is>
          <t>Food &amp; Consumables</t>
        </is>
      </c>
      <c r="F99" s="7" t="n">
        <v>2</v>
      </c>
      <c r="G99" s="7" t="n">
        <v>1780.41</v>
      </c>
      <c r="H99" s="9">
        <f>F99*G99</f>
        <v/>
      </c>
      <c r="I99" s="5" t="n"/>
      <c r="J99" s="10">
        <f>TEXT(B99,"MMM YYYY")</f>
        <v/>
      </c>
      <c r="K99" s="10">
        <f>"Q"&amp;INT((MONTH(B99)-1)/3+1)&amp;" "&amp;YEAR(B99)</f>
        <v/>
      </c>
    </row>
    <row r="100">
      <c r="A100" s="2" t="inlineStr">
        <is>
          <t>PO-10099</t>
        </is>
      </c>
      <c r="B100" s="3" t="n">
        <v>45565</v>
      </c>
      <c r="C100" s="3" t="n">
        <v>45568</v>
      </c>
      <c r="D100" s="2" t="inlineStr">
        <is>
          <t>Tiger Brands</t>
        </is>
      </c>
      <c r="E100" s="2" t="inlineStr">
        <is>
          <t>Food &amp; Consumables</t>
        </is>
      </c>
      <c r="F100" s="2" t="n">
        <v>9</v>
      </c>
      <c r="G100" s="2" t="n">
        <v>4414.21</v>
      </c>
      <c r="H100" s="4">
        <f>F100*G100</f>
        <v/>
      </c>
      <c r="I100" s="11" t="n"/>
      <c r="J100" s="6">
        <f>TEXT(B100,"MMM YYYY")</f>
        <v/>
      </c>
      <c r="K100" s="6">
        <f>"Q"&amp;INT((MONTH(B100)-1)/3+1)&amp;" "&amp;YEAR(B100)</f>
        <v/>
      </c>
    </row>
    <row r="101">
      <c r="A101" s="7" t="inlineStr">
        <is>
          <t>PO-10100</t>
        </is>
      </c>
      <c r="B101" s="8" t="n">
        <v>45334</v>
      </c>
      <c r="C101" s="8" t="n">
        <v>45350</v>
      </c>
      <c r="D101" s="7" t="inlineStr">
        <is>
          <t>Digitec SA</t>
        </is>
      </c>
      <c r="E101" s="7" t="inlineStr">
        <is>
          <t>Marketing &amp; Print</t>
        </is>
      </c>
      <c r="F101" s="7" t="n">
        <v>37</v>
      </c>
      <c r="G101" s="7" t="n">
        <v>3000.35</v>
      </c>
      <c r="H101" s="9">
        <f>F101*G101</f>
        <v/>
      </c>
      <c r="I101" s="5" t="n"/>
      <c r="J101" s="10">
        <f>TEXT(B101,"MMM YYYY")</f>
        <v/>
      </c>
      <c r="K101" s="10">
        <f>"Q"&amp;INT((MONTH(B101)-1)/3+1)&amp;" "&amp;YEAR(B101)</f>
        <v/>
      </c>
    </row>
    <row r="102">
      <c r="A102" s="2" t="inlineStr">
        <is>
          <t>PO-10101</t>
        </is>
      </c>
      <c r="B102" s="3" t="n">
        <v>45486</v>
      </c>
      <c r="C102" s="3" t="n">
        <v>45499</v>
      </c>
      <c r="D102" s="2" t="inlineStr">
        <is>
          <t>Tiger Brands</t>
        </is>
      </c>
      <c r="E102" s="2" t="inlineStr">
        <is>
          <t>Food &amp; Consumables</t>
        </is>
      </c>
      <c r="F102" s="2" t="n">
        <v>12</v>
      </c>
      <c r="G102" s="2" t="n">
        <v>273.77</v>
      </c>
      <c r="H102" s="4">
        <f>F102*G102</f>
        <v/>
      </c>
      <c r="I102" s="5" t="n"/>
      <c r="J102" s="6">
        <f>TEXT(B102,"MMM YYYY")</f>
        <v/>
      </c>
      <c r="K102" s="6">
        <f>"Q"&amp;INT((MONTH(B102)-1)/3+1)&amp;" "&amp;YEAR(B102)</f>
        <v/>
      </c>
    </row>
    <row r="103">
      <c r="A103" s="7" t="inlineStr">
        <is>
          <t>PO-10102</t>
        </is>
      </c>
      <c r="B103" s="8" t="n">
        <v>45486</v>
      </c>
      <c r="C103" s="8" t="n">
        <v>45497</v>
      </c>
      <c r="D103" s="7" t="inlineStr">
        <is>
          <t>Builders Warehouse</t>
        </is>
      </c>
      <c r="E103" s="7" t="inlineStr">
        <is>
          <t>Facilities &amp; Maintenance</t>
        </is>
      </c>
      <c r="F103" s="7" t="n">
        <v>22</v>
      </c>
      <c r="G103" s="7" t="n">
        <v>3437.47</v>
      </c>
      <c r="H103" s="9">
        <f>F103*G103</f>
        <v/>
      </c>
      <c r="I103" s="5" t="n"/>
      <c r="J103" s="10">
        <f>TEXT(B103,"MMM YYYY")</f>
        <v/>
      </c>
      <c r="K103" s="10">
        <f>"Q"&amp;INT((MONTH(B103)-1)/3+1)&amp;" "&amp;YEAR(B103)</f>
        <v/>
      </c>
    </row>
    <row r="104">
      <c r="A104" s="2" t="inlineStr">
        <is>
          <t>PO-10103</t>
        </is>
      </c>
      <c r="B104" s="3" t="n">
        <v>45532</v>
      </c>
      <c r="C104" s="3" t="n">
        <v>45535</v>
      </c>
      <c r="D104" s="2" t="inlineStr">
        <is>
          <t>Nashua Office</t>
        </is>
      </c>
      <c r="E104" s="2" t="inlineStr">
        <is>
          <t>IT &amp; Electronics</t>
        </is>
      </c>
      <c r="F104" s="2" t="n">
        <v>17</v>
      </c>
      <c r="G104" s="2" t="n">
        <v>3765.35</v>
      </c>
      <c r="H104" s="4">
        <f>F104*G104</f>
        <v/>
      </c>
      <c r="I104" s="5" t="n"/>
      <c r="J104" s="6">
        <f>TEXT(B104,"MMM YYYY")</f>
        <v/>
      </c>
      <c r="K104" s="6">
        <f>"Q"&amp;INT((MONTH(B104)-1)/3+1)&amp;" "&amp;YEAR(B104)</f>
        <v/>
      </c>
    </row>
    <row r="105">
      <c r="A105" s="7" t="inlineStr">
        <is>
          <t>PO-10104</t>
        </is>
      </c>
      <c r="B105" s="8" t="n">
        <v>45327</v>
      </c>
      <c r="C105" s="8" t="n">
        <v>45331</v>
      </c>
      <c r="D105" s="7" t="inlineStr">
        <is>
          <t>Makro SA</t>
        </is>
      </c>
      <c r="E105" s="7" t="inlineStr">
        <is>
          <t>Office Supplies</t>
        </is>
      </c>
      <c r="F105" s="7" t="n">
        <v>23</v>
      </c>
      <c r="G105" s="7" t="n">
        <v>1047.79</v>
      </c>
      <c r="H105" s="9">
        <f>F105*G105</f>
        <v/>
      </c>
      <c r="I105" s="5" t="n"/>
      <c r="J105" s="10">
        <f>TEXT(B105,"MMM YYYY")</f>
        <v/>
      </c>
      <c r="K105" s="10">
        <f>"Q"&amp;INT((MONTH(B105)-1)/3+1)&amp;" "&amp;YEAR(B105)</f>
        <v/>
      </c>
    </row>
    <row r="106">
      <c r="A106" s="2" t="inlineStr">
        <is>
          <t>PO-10105</t>
        </is>
      </c>
      <c r="B106" s="3" t="n">
        <v>45610</v>
      </c>
      <c r="C106" s="3" t="n">
        <v>45617</v>
      </c>
      <c r="D106" s="2" t="inlineStr">
        <is>
          <t>Pick n Pay Trade</t>
        </is>
      </c>
      <c r="E106" s="2" t="inlineStr">
        <is>
          <t>Food &amp; Consumables</t>
        </is>
      </c>
      <c r="F106" s="2" t="n">
        <v>13</v>
      </c>
      <c r="G106" s="2" t="n">
        <v>3784.57</v>
      </c>
      <c r="H106" s="4">
        <f>F106*G106</f>
        <v/>
      </c>
      <c r="I106" s="5" t="n"/>
      <c r="J106" s="6">
        <f>TEXT(B106,"MMM YYYY")</f>
        <v/>
      </c>
      <c r="K106" s="6">
        <f>"Q"&amp;INT((MONTH(B106)-1)/3+1)&amp;" "&amp;YEAR(B106)</f>
        <v/>
      </c>
    </row>
    <row r="107">
      <c r="A107" s="7" t="inlineStr">
        <is>
          <t>PO-10106</t>
        </is>
      </c>
      <c r="B107" s="8" t="n">
        <v>45403</v>
      </c>
      <c r="C107" s="8" t="n">
        <v>45420</v>
      </c>
      <c r="D107" s="7" t="inlineStr">
        <is>
          <t>Tiger Brands</t>
        </is>
      </c>
      <c r="E107" s="7" t="inlineStr">
        <is>
          <t>Food &amp; Consumables</t>
        </is>
      </c>
      <c r="F107" s="7" t="n">
        <v>43</v>
      </c>
      <c r="G107" s="7" t="n">
        <v>559.03</v>
      </c>
      <c r="H107" s="9">
        <f>F107*G107</f>
        <v/>
      </c>
      <c r="I107" s="5" t="n"/>
      <c r="J107" s="10">
        <f>TEXT(B107,"MMM YYYY")</f>
        <v/>
      </c>
      <c r="K107" s="10">
        <f>"Q"&amp;INT((MONTH(B107)-1)/3+1)&amp;" "&amp;YEAR(B107)</f>
        <v/>
      </c>
    </row>
    <row r="108">
      <c r="A108" s="2" t="inlineStr">
        <is>
          <t>PO-10107</t>
        </is>
      </c>
      <c r="B108" s="3" t="n">
        <v>45350</v>
      </c>
      <c r="C108" s="3" t="n">
        <v>45358</v>
      </c>
      <c r="D108" s="2" t="inlineStr">
        <is>
          <t>Builders Warehouse</t>
        </is>
      </c>
      <c r="E108" s="2" t="inlineStr">
        <is>
          <t>Facilities &amp; Maintenance</t>
        </is>
      </c>
      <c r="F108" s="2" t="n">
        <v>11</v>
      </c>
      <c r="G108" s="2" t="n">
        <v>2746.22</v>
      </c>
      <c r="H108" s="4">
        <f>F108*G108</f>
        <v/>
      </c>
      <c r="I108" s="12" t="n"/>
      <c r="J108" s="6">
        <f>TEXT(B108,"MMM YYYY")</f>
        <v/>
      </c>
      <c r="K108" s="6">
        <f>"Q"&amp;INT((MONTH(B108)-1)/3+1)&amp;" "&amp;YEAR(B108)</f>
        <v/>
      </c>
    </row>
    <row r="109">
      <c r="A109" s="7" t="inlineStr">
        <is>
          <t>PO-10108</t>
        </is>
      </c>
      <c r="B109" s="8" t="n">
        <v>45451</v>
      </c>
      <c r="C109" s="8" t="n">
        <v>45472</v>
      </c>
      <c r="D109" s="7" t="inlineStr">
        <is>
          <t>Bidvest Facilities</t>
        </is>
      </c>
      <c r="E109" s="7" t="inlineStr">
        <is>
          <t>Facilities &amp; Maintenance</t>
        </is>
      </c>
      <c r="F109" s="7" t="n">
        <v>38</v>
      </c>
      <c r="G109" s="7" t="n">
        <v>164.27</v>
      </c>
      <c r="H109" s="9">
        <f>F109*G109</f>
        <v/>
      </c>
      <c r="I109" s="5" t="n"/>
      <c r="J109" s="10">
        <f>TEXT(B109,"MMM YYYY")</f>
        <v/>
      </c>
      <c r="K109" s="10">
        <f>"Q"&amp;INT((MONTH(B109)-1)/3+1)&amp;" "&amp;YEAR(B109)</f>
        <v/>
      </c>
    </row>
    <row r="110">
      <c r="A110" s="2" t="inlineStr">
        <is>
          <t>PO-10109</t>
        </is>
      </c>
      <c r="B110" s="3" t="n">
        <v>45393</v>
      </c>
      <c r="C110" s="3" t="n">
        <v>45398</v>
      </c>
      <c r="D110" s="2" t="inlineStr">
        <is>
          <t>Nashua Office</t>
        </is>
      </c>
      <c r="E110" s="2" t="inlineStr">
        <is>
          <t>IT &amp; Electronics</t>
        </is>
      </c>
      <c r="F110" s="2" t="n">
        <v>26</v>
      </c>
      <c r="G110" s="2" t="n">
        <v>4239.54</v>
      </c>
      <c r="H110" s="4">
        <f>F110*G110</f>
        <v/>
      </c>
      <c r="I110" s="5" t="n"/>
      <c r="J110" s="6">
        <f>TEXT(B110,"MMM YYYY")</f>
        <v/>
      </c>
      <c r="K110" s="6">
        <f>"Q"&amp;INT((MONTH(B110)-1)/3+1)&amp;" "&amp;YEAR(B110)</f>
        <v/>
      </c>
    </row>
    <row r="111">
      <c r="A111" s="7" t="inlineStr">
        <is>
          <t>PO-10110</t>
        </is>
      </c>
      <c r="B111" s="8" t="n">
        <v>45446</v>
      </c>
      <c r="C111" s="8" t="n">
        <v>45452</v>
      </c>
      <c r="D111" s="7" t="inlineStr">
        <is>
          <t>Pick n Pay Trade</t>
        </is>
      </c>
      <c r="E111" s="7" t="inlineStr">
        <is>
          <t>Food &amp; Consumables</t>
        </is>
      </c>
      <c r="F111" s="7" t="n">
        <v>7</v>
      </c>
      <c r="G111" s="7" t="n">
        <v>3152.51</v>
      </c>
      <c r="H111" s="9">
        <f>F111*G111</f>
        <v/>
      </c>
      <c r="I111" s="11" t="n"/>
      <c r="J111" s="10">
        <f>TEXT(B111,"MMM YYYY")</f>
        <v/>
      </c>
      <c r="K111" s="10">
        <f>"Q"&amp;INT((MONTH(B111)-1)/3+1)&amp;" "&amp;YEAR(B111)</f>
        <v/>
      </c>
    </row>
    <row r="112">
      <c r="A112" s="2" t="inlineStr">
        <is>
          <t>PO-10111</t>
        </is>
      </c>
      <c r="B112" s="3" t="n">
        <v>45511</v>
      </c>
      <c r="C112" s="3" t="n">
        <v>45525</v>
      </c>
      <c r="D112" s="2" t="inlineStr">
        <is>
          <t>Digitec SA</t>
        </is>
      </c>
      <c r="E112" s="2" t="inlineStr">
        <is>
          <t>Marketing &amp; Print</t>
        </is>
      </c>
      <c r="F112" s="2" t="n">
        <v>3</v>
      </c>
      <c r="G112" s="2" t="n">
        <v>1595.06</v>
      </c>
      <c r="H112" s="4">
        <f>F112*G112</f>
        <v/>
      </c>
      <c r="I112" s="5" t="n"/>
      <c r="J112" s="6">
        <f>TEXT(B112,"MMM YYYY")</f>
        <v/>
      </c>
      <c r="K112" s="6">
        <f>"Q"&amp;INT((MONTH(B112)-1)/3+1)&amp;" "&amp;YEAR(B112)</f>
        <v/>
      </c>
    </row>
    <row r="113">
      <c r="A113" s="7" t="inlineStr">
        <is>
          <t>PO-10112</t>
        </is>
      </c>
      <c r="B113" s="8" t="n">
        <v>45542</v>
      </c>
      <c r="C113" s="8" t="n">
        <v>45548</v>
      </c>
      <c r="D113" s="7" t="inlineStr">
        <is>
          <t>Builders Warehouse</t>
        </is>
      </c>
      <c r="E113" s="7" t="inlineStr">
        <is>
          <t>Facilities &amp; Maintenance</t>
        </is>
      </c>
      <c r="F113" s="7" t="n">
        <v>1</v>
      </c>
      <c r="G113" s="7" t="n">
        <v>3830.61</v>
      </c>
      <c r="H113" s="9">
        <f>F113*G113</f>
        <v/>
      </c>
      <c r="I113" s="5" t="n"/>
      <c r="J113" s="10">
        <f>TEXT(B113,"MMM YYYY")</f>
        <v/>
      </c>
      <c r="K113" s="10">
        <f>"Q"&amp;INT((MONTH(B113)-1)/3+1)&amp;" "&amp;YEAR(B113)</f>
        <v/>
      </c>
    </row>
    <row r="114">
      <c r="A114" s="2" t="inlineStr">
        <is>
          <t>PO-10113</t>
        </is>
      </c>
      <c r="B114" s="3" t="n">
        <v>45527</v>
      </c>
      <c r="C114" s="3" t="n">
        <v>45534</v>
      </c>
      <c r="D114" s="2" t="inlineStr">
        <is>
          <t>Builders Warehouse</t>
        </is>
      </c>
      <c r="E114" s="2" t="inlineStr">
        <is>
          <t>Facilities &amp; Maintenance</t>
        </is>
      </c>
      <c r="F114" s="2" t="n">
        <v>41</v>
      </c>
      <c r="G114" s="2" t="n">
        <v>4017.51</v>
      </c>
      <c r="H114" s="4">
        <f>F114*G114</f>
        <v/>
      </c>
      <c r="I114" s="5" t="n"/>
      <c r="J114" s="6">
        <f>TEXT(B114,"MMM YYYY")</f>
        <v/>
      </c>
      <c r="K114" s="6">
        <f>"Q"&amp;INT((MONTH(B114)-1)/3+1)&amp;" "&amp;YEAR(B114)</f>
        <v/>
      </c>
    </row>
    <row r="115">
      <c r="A115" s="7" t="inlineStr">
        <is>
          <t>PO-10114</t>
        </is>
      </c>
      <c r="B115" s="8" t="n">
        <v>45567</v>
      </c>
      <c r="C115" s="8" t="n">
        <v>45585</v>
      </c>
      <c r="D115" s="7" t="inlineStr">
        <is>
          <t>Staples SA</t>
        </is>
      </c>
      <c r="E115" s="7" t="inlineStr">
        <is>
          <t>Office Supplies</t>
        </is>
      </c>
      <c r="F115" s="7" t="n">
        <v>42</v>
      </c>
      <c r="G115" s="7" t="n">
        <v>1251.87</v>
      </c>
      <c r="H115" s="9">
        <f>F115*G115</f>
        <v/>
      </c>
      <c r="I115" s="5" t="n"/>
      <c r="J115" s="10">
        <f>TEXT(B115,"MMM YYYY")</f>
        <v/>
      </c>
      <c r="K115" s="10">
        <f>"Q"&amp;INT((MONTH(B115)-1)/3+1)&amp;" "&amp;YEAR(B115)</f>
        <v/>
      </c>
    </row>
    <row r="116">
      <c r="A116" s="2" t="inlineStr">
        <is>
          <t>PO-10115</t>
        </is>
      </c>
      <c r="B116" s="3" t="n">
        <v>45417</v>
      </c>
      <c r="C116" s="3" t="n">
        <v>45422</v>
      </c>
      <c r="D116" s="2" t="inlineStr">
        <is>
          <t>Digitec SA</t>
        </is>
      </c>
      <c r="E116" s="2" t="inlineStr">
        <is>
          <t>Marketing &amp; Print</t>
        </is>
      </c>
      <c r="F116" s="2" t="n">
        <v>18</v>
      </c>
      <c r="G116" s="2" t="n">
        <v>1484.26</v>
      </c>
      <c r="H116" s="4">
        <f>F116*G116</f>
        <v/>
      </c>
      <c r="I116" s="5" t="n"/>
      <c r="J116" s="6">
        <f>TEXT(B116,"MMM YYYY")</f>
        <v/>
      </c>
      <c r="K116" s="6">
        <f>"Q"&amp;INT((MONTH(B116)-1)/3+1)&amp;" "&amp;YEAR(B116)</f>
        <v/>
      </c>
    </row>
    <row r="117">
      <c r="A117" s="7" t="inlineStr">
        <is>
          <t>PO-10116</t>
        </is>
      </c>
      <c r="B117" s="8" t="n">
        <v>45583</v>
      </c>
      <c r="C117" s="8" t="n">
        <v>45598</v>
      </c>
      <c r="D117" s="7" t="inlineStr">
        <is>
          <t>Tiger Brands</t>
        </is>
      </c>
      <c r="E117" s="7" t="inlineStr">
        <is>
          <t>Food &amp; Consumables</t>
        </is>
      </c>
      <c r="F117" s="7" t="n">
        <v>16</v>
      </c>
      <c r="G117" s="7" t="n">
        <v>3389.62</v>
      </c>
      <c r="H117" s="9">
        <f>F117*G117</f>
        <v/>
      </c>
      <c r="I117" s="5" t="n"/>
      <c r="J117" s="10">
        <f>TEXT(B117,"MMM YYYY")</f>
        <v/>
      </c>
      <c r="K117" s="10">
        <f>"Q"&amp;INT((MONTH(B117)-1)/3+1)&amp;" "&amp;YEAR(B117)</f>
        <v/>
      </c>
    </row>
    <row r="118">
      <c r="A118" s="2" t="inlineStr">
        <is>
          <t>PO-10117</t>
        </is>
      </c>
      <c r="B118" s="3" t="n">
        <v>45400</v>
      </c>
      <c r="C118" s="3" t="n">
        <v>45414</v>
      </c>
      <c r="D118" s="2" t="inlineStr">
        <is>
          <t>Tiger Brands</t>
        </is>
      </c>
      <c r="E118" s="2" t="inlineStr">
        <is>
          <t>Food &amp; Consumables</t>
        </is>
      </c>
      <c r="F118" s="2" t="n">
        <v>21</v>
      </c>
      <c r="G118" s="2" t="n">
        <v>859.1900000000001</v>
      </c>
      <c r="H118" s="4">
        <f>F118*G118</f>
        <v/>
      </c>
      <c r="I118" s="11" t="n"/>
      <c r="J118" s="6">
        <f>TEXT(B118,"MMM YYYY")</f>
        <v/>
      </c>
      <c r="K118" s="6">
        <f>"Q"&amp;INT((MONTH(B118)-1)/3+1)&amp;" "&amp;YEAR(B118)</f>
        <v/>
      </c>
    </row>
    <row r="119">
      <c r="A119" s="7" t="inlineStr">
        <is>
          <t>PO-10118</t>
        </is>
      </c>
      <c r="B119" s="8" t="n">
        <v>45651</v>
      </c>
      <c r="C119" s="8" t="n">
        <v>45662</v>
      </c>
      <c r="D119" s="7" t="inlineStr">
        <is>
          <t>Builders Warehouse</t>
        </is>
      </c>
      <c r="E119" s="7" t="inlineStr">
        <is>
          <t>Facilities &amp; Maintenance</t>
        </is>
      </c>
      <c r="F119" s="7" t="n">
        <v>18</v>
      </c>
      <c r="G119" s="7" t="n">
        <v>3967.42</v>
      </c>
      <c r="H119" s="9">
        <f>F119*G119</f>
        <v/>
      </c>
      <c r="I119" s="5" t="n"/>
      <c r="J119" s="10">
        <f>TEXT(B119,"MMM YYYY")</f>
        <v/>
      </c>
      <c r="K119" s="10">
        <f>"Q"&amp;INT((MONTH(B119)-1)/3+1)&amp;" "&amp;YEAR(B119)</f>
        <v/>
      </c>
    </row>
    <row r="120">
      <c r="A120" s="2" t="inlineStr">
        <is>
          <t>PO-10119</t>
        </is>
      </c>
      <c r="B120" s="3" t="n">
        <v>45500</v>
      </c>
      <c r="C120" s="3" t="n">
        <v>45518</v>
      </c>
      <c r="D120" s="2" t="inlineStr">
        <is>
          <t>Staples SA</t>
        </is>
      </c>
      <c r="E120" s="2" t="inlineStr">
        <is>
          <t>Office Supplies</t>
        </is>
      </c>
      <c r="F120" s="2" t="n">
        <v>13</v>
      </c>
      <c r="G120" s="2" t="n">
        <v>430.98</v>
      </c>
      <c r="H120" s="4">
        <f>F120*G120</f>
        <v/>
      </c>
      <c r="I120" s="5" t="n"/>
      <c r="J120" s="6">
        <f>TEXT(B120,"MMM YYYY")</f>
        <v/>
      </c>
      <c r="K120" s="6">
        <f>"Q"&amp;INT((MONTH(B120)-1)/3+1)&amp;" "&amp;YEAR(B120)</f>
        <v/>
      </c>
    </row>
    <row r="121">
      <c r="A121" s="7" t="inlineStr">
        <is>
          <t>PO-10120</t>
        </is>
      </c>
      <c r="B121" s="8" t="n">
        <v>45656</v>
      </c>
      <c r="C121" s="8" t="n">
        <v>45674</v>
      </c>
      <c r="D121" s="7" t="inlineStr">
        <is>
          <t>Pick n Pay Trade</t>
        </is>
      </c>
      <c r="E121" s="7" t="inlineStr">
        <is>
          <t>Food &amp; Consumables</t>
        </is>
      </c>
      <c r="F121" s="7" t="n">
        <v>45</v>
      </c>
      <c r="G121" s="7" t="n">
        <v>2168.61</v>
      </c>
      <c r="H121" s="9">
        <f>F121*G121</f>
        <v/>
      </c>
      <c r="I121" s="5" t="n"/>
      <c r="J121" s="10">
        <f>TEXT(B121,"MMM YYYY")</f>
        <v/>
      </c>
      <c r="K121" s="10">
        <f>"Q"&amp;INT((MONTH(B121)-1)/3+1)&amp;" "&amp;YEAR(B121)</f>
        <v/>
      </c>
    </row>
  </sheetData>
  <autoFilter ref="A1:K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8" customWidth="1" min="4" max="4"/>
    <col width="12" customWidth="1" min="5" max="5"/>
    <col width="3" customWidth="1" min="6" max="6"/>
    <col width="28" customWidth="1" min="7" max="7"/>
    <col width="18" customWidth="1" min="8" max="8"/>
    <col width="12" customWidth="1" min="9" max="9"/>
    <col width="14" customWidth="1" min="10" max="10"/>
    <col width="3" customWidth="1" min="11" max="11"/>
    <col width="3" customWidth="1" min="12" max="12"/>
  </cols>
  <sheetData>
    <row r="1" ht="38" customHeight="1">
      <c r="A1" s="13" t="inlineStr">
        <is>
          <t>PROCUREMENT SPEND TRACKER — FY 2024</t>
        </is>
      </c>
    </row>
    <row r="2" ht="18" customHeight="1">
      <c r="A2" s="14" t="inlineStr">
        <is>
          <t>Kutlo Hlolo Tsheiso  |  Data Analytics Portfolio — Project 01</t>
        </is>
      </c>
    </row>
    <row r="4" ht="20" customHeight="1">
      <c r="A4" s="15" t="inlineStr">
        <is>
          <t>Total PO Spend</t>
        </is>
      </c>
      <c r="B4" s="16" t="n"/>
      <c r="D4" s="15" t="inlineStr">
        <is>
          <t>Total POs Raised</t>
        </is>
      </c>
      <c r="E4" s="16" t="n"/>
      <c r="G4" s="15" t="inlineStr">
        <is>
          <t>Avg PO Value</t>
        </is>
      </c>
      <c r="H4" s="16" t="n"/>
      <c r="J4" s="15" t="inlineStr">
        <is>
          <t>Cancelled POs</t>
        </is>
      </c>
      <c r="K4" s="16" t="n"/>
    </row>
    <row r="5" ht="32" customHeight="1">
      <c r="A5" s="17">
        <f>SUMIF('PO Data'!I:I,"Delivered",'PO Data'!H:H)</f>
        <v/>
      </c>
      <c r="B5" s="16" t="n"/>
      <c r="D5" s="18">
        <f>COUNTA('PO Data'!A2:A121)</f>
        <v/>
      </c>
      <c r="E5" s="16" t="n"/>
      <c r="G5" s="17">
        <f>AVERAGEIF('PO Data'!I:I,"Delivered",'PO Data'!H:H)</f>
        <v/>
      </c>
      <c r="H5" s="16" t="n"/>
      <c r="J5" s="19">
        <f>COUNTIF('PO Data'!I:I,"Cancelled")</f>
        <v/>
      </c>
      <c r="K5" s="16" t="n"/>
    </row>
    <row r="7" ht="12" customHeight="1"/>
    <row r="8" ht="22" customHeight="1">
      <c r="A8" s="20" t="inlineStr">
        <is>
          <t>Spend by Supplier</t>
        </is>
      </c>
      <c r="G8" s="20" t="inlineStr">
        <is>
          <t>Spend by Category</t>
        </is>
      </c>
    </row>
    <row r="9">
      <c r="A9" s="21" t="inlineStr">
        <is>
          <t>Supplier</t>
        </is>
      </c>
      <c r="B9" s="21" t="inlineStr">
        <is>
          <t>Total Spend (R)</t>
        </is>
      </c>
      <c r="C9" s="21" t="inlineStr">
        <is>
          <t>No. of POs</t>
        </is>
      </c>
      <c r="D9" s="21" t="inlineStr">
        <is>
          <t>Avg PO Value (R)</t>
        </is>
      </c>
      <c r="E9" s="21" t="inlineStr">
        <is>
          <t>% of Total</t>
        </is>
      </c>
      <c r="G9" s="21" t="inlineStr">
        <is>
          <t>Category</t>
        </is>
      </c>
      <c r="H9" s="21" t="inlineStr">
        <is>
          <t>Total Spend (R)</t>
        </is>
      </c>
      <c r="I9" s="21" t="inlineStr">
        <is>
          <t>No. of POs</t>
        </is>
      </c>
      <c r="J9" s="21" t="inlineStr">
        <is>
          <t>% of Spend</t>
        </is>
      </c>
    </row>
    <row r="10">
      <c r="A10" s="22" t="inlineStr">
        <is>
          <t>Makro SA</t>
        </is>
      </c>
      <c r="B10" s="23">
        <f>SUMIFS('PO Data'!H:H,'PO Data'!D:D,A10,'PO Data'!I:I,"Delivered")</f>
        <v/>
      </c>
      <c r="C10" s="6">
        <f>COUNTIF('PO Data'!D:D,A10)</f>
        <v/>
      </c>
      <c r="D10" s="23">
        <f>IF(C10&gt;0,B10/C10,0)</f>
        <v/>
      </c>
      <c r="E10" s="24">
        <f>IF(SUM(B10:B19)&gt;0,B10/SUM(B$10:B$19),0)</f>
        <v/>
      </c>
      <c r="G10" s="22" t="inlineStr">
        <is>
          <t>Marketing &amp; Print</t>
        </is>
      </c>
      <c r="H10" s="23">
        <f>SUMIFS('PO Data'!H:H,'PO Data'!E:E,G10,'PO Data'!I:I,"Delivered")</f>
        <v/>
      </c>
      <c r="I10" s="6">
        <f>COUNTIF('PO Data'!E:E,G10)</f>
        <v/>
      </c>
      <c r="J10" s="24">
        <f>IF(SUM(H10:H14)&gt;0,H10/SUM(H$10:H$14),0)</f>
        <v/>
      </c>
    </row>
    <row r="11">
      <c r="A11" s="25" t="inlineStr">
        <is>
          <t>Bidvest Facilities</t>
        </is>
      </c>
      <c r="B11" s="26">
        <f>SUMIFS('PO Data'!H:H,'PO Data'!D:D,A11,'PO Data'!I:I,"Delivered")</f>
        <v/>
      </c>
      <c r="C11" s="10">
        <f>COUNTIF('PO Data'!D:D,A11)</f>
        <v/>
      </c>
      <c r="D11" s="26">
        <f>IF(C11&gt;0,B11/C11,0)</f>
        <v/>
      </c>
      <c r="E11" s="27">
        <f>IF(SUM(B10:B19)&gt;0,B11/SUM(B$10:B$19),0)</f>
        <v/>
      </c>
      <c r="G11" s="25" t="inlineStr">
        <is>
          <t>Office Supplies</t>
        </is>
      </c>
      <c r="H11" s="26">
        <f>SUMIFS('PO Data'!H:H,'PO Data'!E:E,G11,'PO Data'!I:I,"Delivered")</f>
        <v/>
      </c>
      <c r="I11" s="10">
        <f>COUNTIF('PO Data'!E:E,G11)</f>
        <v/>
      </c>
      <c r="J11" s="27">
        <f>IF(SUM(H10:H14)&gt;0,H11/SUM(H$10:H$14),0)</f>
        <v/>
      </c>
    </row>
    <row r="12">
      <c r="A12" s="22" t="inlineStr">
        <is>
          <t>Incredible Connection</t>
        </is>
      </c>
      <c r="B12" s="23">
        <f>SUMIFS('PO Data'!H:H,'PO Data'!D:D,A12,'PO Data'!I:I,"Delivered")</f>
        <v/>
      </c>
      <c r="C12" s="6">
        <f>COUNTIF('PO Data'!D:D,A12)</f>
        <v/>
      </c>
      <c r="D12" s="23">
        <f>IF(C12&gt;0,B12/C12,0)</f>
        <v/>
      </c>
      <c r="E12" s="24">
        <f>IF(SUM(B10:B19)&gt;0,B12/SUM(B$10:B$19),0)</f>
        <v/>
      </c>
      <c r="G12" s="22" t="inlineStr">
        <is>
          <t>Facilities &amp; Maintenance</t>
        </is>
      </c>
      <c r="H12" s="23">
        <f>SUMIFS('PO Data'!H:H,'PO Data'!E:E,G12,'PO Data'!I:I,"Delivered")</f>
        <v/>
      </c>
      <c r="I12" s="6">
        <f>COUNTIF('PO Data'!E:E,G12)</f>
        <v/>
      </c>
      <c r="J12" s="24">
        <f>IF(SUM(H10:H14)&gt;0,H12/SUM(H$10:H$14),0)</f>
        <v/>
      </c>
    </row>
    <row r="13">
      <c r="A13" s="25" t="inlineStr">
        <is>
          <t>Pick n Pay Trade</t>
        </is>
      </c>
      <c r="B13" s="26">
        <f>SUMIFS('PO Data'!H:H,'PO Data'!D:D,A13,'PO Data'!I:I,"Delivered")</f>
        <v/>
      </c>
      <c r="C13" s="10">
        <f>COUNTIF('PO Data'!D:D,A13)</f>
        <v/>
      </c>
      <c r="D13" s="26">
        <f>IF(C13&gt;0,B13/C13,0)</f>
        <v/>
      </c>
      <c r="E13" s="27">
        <f>IF(SUM(B10:B19)&gt;0,B13/SUM(B$10:B$19),0)</f>
        <v/>
      </c>
      <c r="G13" s="25" t="inlineStr">
        <is>
          <t>IT &amp; Electronics</t>
        </is>
      </c>
      <c r="H13" s="26">
        <f>SUMIFS('PO Data'!H:H,'PO Data'!E:E,G13,'PO Data'!I:I,"Delivered")</f>
        <v/>
      </c>
      <c r="I13" s="10">
        <f>COUNTIF('PO Data'!E:E,G13)</f>
        <v/>
      </c>
      <c r="J13" s="27">
        <f>IF(SUM(H10:H14)&gt;0,H13/SUM(H$10:H$14),0)</f>
        <v/>
      </c>
    </row>
    <row r="14">
      <c r="A14" s="22" t="inlineStr">
        <is>
          <t>Rand Merchant Print</t>
        </is>
      </c>
      <c r="B14" s="23">
        <f>SUMIFS('PO Data'!H:H,'PO Data'!D:D,A14,'PO Data'!I:I,"Delivered")</f>
        <v/>
      </c>
      <c r="C14" s="6">
        <f>COUNTIF('PO Data'!D:D,A14)</f>
        <v/>
      </c>
      <c r="D14" s="23">
        <f>IF(C14&gt;0,B14/C14,0)</f>
        <v/>
      </c>
      <c r="E14" s="24">
        <f>IF(SUM(B10:B19)&gt;0,B14/SUM(B$10:B$19),0)</f>
        <v/>
      </c>
      <c r="G14" s="22" t="inlineStr">
        <is>
          <t>Food &amp; Consumables</t>
        </is>
      </c>
      <c r="H14" s="23">
        <f>SUMIFS('PO Data'!H:H,'PO Data'!E:E,G14,'PO Data'!I:I,"Delivered")</f>
        <v/>
      </c>
      <c r="I14" s="6">
        <f>COUNTIF('PO Data'!E:E,G14)</f>
        <v/>
      </c>
      <c r="J14" s="24">
        <f>IF(SUM(H10:H14)&gt;0,H14/SUM(H$10:H$14),0)</f>
        <v/>
      </c>
    </row>
    <row r="15">
      <c r="A15" s="25" t="inlineStr">
        <is>
          <t>Builders Warehouse</t>
        </is>
      </c>
      <c r="B15" s="26">
        <f>SUMIFS('PO Data'!H:H,'PO Data'!D:D,A15,'PO Data'!I:I,"Delivered")</f>
        <v/>
      </c>
      <c r="C15" s="10">
        <f>COUNTIF('PO Data'!D:D,A15)</f>
        <v/>
      </c>
      <c r="D15" s="26">
        <f>IF(C15&gt;0,B15/C15,0)</f>
        <v/>
      </c>
      <c r="E15" s="27">
        <f>IF(SUM(B10:B19)&gt;0,B15/SUM(B$10:B$19),0)</f>
        <v/>
      </c>
      <c r="G15" s="28" t="inlineStr">
        <is>
          <t>TOTAL</t>
        </is>
      </c>
      <c r="H15" s="29">
        <f>SUM(H10:H14)</f>
        <v/>
      </c>
      <c r="I15" s="1">
        <f>SUM(I10:I14)</f>
        <v/>
      </c>
      <c r="J15" s="1" t="inlineStr">
        <is>
          <t>100.0%</t>
        </is>
      </c>
    </row>
    <row r="16">
      <c r="A16" s="22" t="inlineStr">
        <is>
          <t>Nashua Office</t>
        </is>
      </c>
      <c r="B16" s="23">
        <f>SUMIFS('PO Data'!H:H,'PO Data'!D:D,A16,'PO Data'!I:I,"Delivered")</f>
        <v/>
      </c>
      <c r="C16" s="6">
        <f>COUNTIF('PO Data'!D:D,A16)</f>
        <v/>
      </c>
      <c r="D16" s="23">
        <f>IF(C16&gt;0,B16/C16,0)</f>
        <v/>
      </c>
      <c r="E16" s="24">
        <f>IF(SUM(B10:B19)&gt;0,B16/SUM(B$10:B$19),0)</f>
        <v/>
      </c>
    </row>
    <row r="17">
      <c r="A17" s="25" t="inlineStr">
        <is>
          <t>Tiger Brands</t>
        </is>
      </c>
      <c r="B17" s="26">
        <f>SUMIFS('PO Data'!H:H,'PO Data'!D:D,A17,'PO Data'!I:I,"Delivered")</f>
        <v/>
      </c>
      <c r="C17" s="10">
        <f>COUNTIF('PO Data'!D:D,A17)</f>
        <v/>
      </c>
      <c r="D17" s="26">
        <f>IF(C17&gt;0,B17/C17,0)</f>
        <v/>
      </c>
      <c r="E17" s="27">
        <f>IF(SUM(B10:B19)&gt;0,B17/SUM(B$10:B$19),0)</f>
        <v/>
      </c>
    </row>
    <row r="18">
      <c r="A18" s="22" t="inlineStr">
        <is>
          <t>Staples SA</t>
        </is>
      </c>
      <c r="B18" s="23">
        <f>SUMIFS('PO Data'!H:H,'PO Data'!D:D,A18,'PO Data'!I:I,"Delivered")</f>
        <v/>
      </c>
      <c r="C18" s="6">
        <f>COUNTIF('PO Data'!D:D,A18)</f>
        <v/>
      </c>
      <c r="D18" s="23">
        <f>IF(C18&gt;0,B18/C18,0)</f>
        <v/>
      </c>
      <c r="E18" s="24">
        <f>IF(SUM(B10:B19)&gt;0,B18/SUM(B$10:B$19),0)</f>
        <v/>
      </c>
    </row>
    <row r="19">
      <c r="A19" s="25" t="inlineStr">
        <is>
          <t>Digitec SA</t>
        </is>
      </c>
      <c r="B19" s="26">
        <f>SUMIFS('PO Data'!H:H,'PO Data'!D:D,A19,'PO Data'!I:I,"Delivered")</f>
        <v/>
      </c>
      <c r="C19" s="10">
        <f>COUNTIF('PO Data'!D:D,A19)</f>
        <v/>
      </c>
      <c r="D19" s="26">
        <f>IF(C19&gt;0,B19/C19,0)</f>
        <v/>
      </c>
      <c r="E19" s="27">
        <f>IF(SUM(B10:B19)&gt;0,B19/SUM(B$10:B$19),0)</f>
        <v/>
      </c>
    </row>
    <row r="20">
      <c r="A20" s="28" t="inlineStr">
        <is>
          <t>TOTAL</t>
        </is>
      </c>
      <c r="B20" s="29">
        <f>SUM(B10:B19)</f>
        <v/>
      </c>
      <c r="C20" s="1">
        <f>SUM(C10:C19)</f>
        <v/>
      </c>
      <c r="D20" s="29">
        <f>IF(C20&gt;0,B20/C20,0)</f>
        <v/>
      </c>
      <c r="E20" s="1" t="inlineStr">
        <is>
          <t>100.0%</t>
        </is>
      </c>
    </row>
    <row r="22" ht="22" customHeight="1">
      <c r="A22" s="20" t="inlineStr">
        <is>
          <t>Quarterly Spend Summary</t>
        </is>
      </c>
    </row>
    <row r="23">
      <c r="A23" s="21" t="inlineStr">
        <is>
          <t>Quarter</t>
        </is>
      </c>
      <c r="B23" s="21" t="inlineStr">
        <is>
          <t>Total Spend (R)</t>
        </is>
      </c>
      <c r="C23" s="21" t="inlineStr">
        <is>
          <t>POs Raised</t>
        </is>
      </c>
      <c r="D23" s="21" t="inlineStr">
        <is>
          <t>Avg PO (R)</t>
        </is>
      </c>
      <c r="E23" s="21" t="inlineStr">
        <is>
          <t>Delivered (R)</t>
        </is>
      </c>
    </row>
    <row r="24">
      <c r="A24" s="30" t="inlineStr">
        <is>
          <t>Q1 2024</t>
        </is>
      </c>
      <c r="B24" s="23">
        <f>SUMIF('PO Data'!K:K,A24,'PO Data'!H:H)</f>
        <v/>
      </c>
      <c r="C24" s="6">
        <f>COUNTIF('PO Data'!K:K,A24)</f>
        <v/>
      </c>
      <c r="D24" s="23">
        <f>IF(C24&gt;0,B24/C24,0)</f>
        <v/>
      </c>
      <c r="E24" s="23">
        <f>SUMIFS('PO Data'!H:H,'PO Data'!K:K,A24,'PO Data'!I:I,"Delivered")</f>
        <v/>
      </c>
    </row>
    <row r="25">
      <c r="A25" s="31" t="inlineStr">
        <is>
          <t>Q2 2024</t>
        </is>
      </c>
      <c r="B25" s="26">
        <f>SUMIF('PO Data'!K:K,A25,'PO Data'!H:H)</f>
        <v/>
      </c>
      <c r="C25" s="10">
        <f>COUNTIF('PO Data'!K:K,A25)</f>
        <v/>
      </c>
      <c r="D25" s="26">
        <f>IF(C25&gt;0,B25/C25,0)</f>
        <v/>
      </c>
      <c r="E25" s="26">
        <f>SUMIFS('PO Data'!H:H,'PO Data'!K:K,A25,'PO Data'!I:I,"Delivered")</f>
        <v/>
      </c>
    </row>
    <row r="26">
      <c r="A26" s="30" t="inlineStr">
        <is>
          <t>Q3 2024</t>
        </is>
      </c>
      <c r="B26" s="23">
        <f>SUMIF('PO Data'!K:K,A26,'PO Data'!H:H)</f>
        <v/>
      </c>
      <c r="C26" s="6">
        <f>COUNTIF('PO Data'!K:K,A26)</f>
        <v/>
      </c>
      <c r="D26" s="23">
        <f>IF(C26&gt;0,B26/C26,0)</f>
        <v/>
      </c>
      <c r="E26" s="23">
        <f>SUMIFS('PO Data'!H:H,'PO Data'!K:K,A26,'PO Data'!I:I,"Delivered")</f>
        <v/>
      </c>
    </row>
    <row r="27">
      <c r="A27" s="31" t="inlineStr">
        <is>
          <t>Q4 2024</t>
        </is>
      </c>
      <c r="B27" s="26">
        <f>SUMIF('PO Data'!K:K,A27,'PO Data'!H:H)</f>
        <v/>
      </c>
      <c r="C27" s="10">
        <f>COUNTIF('PO Data'!K:K,A27)</f>
        <v/>
      </c>
      <c r="D27" s="26">
        <f>IF(C27&gt;0,B27/C27,0)</f>
        <v/>
      </c>
      <c r="E27" s="26">
        <f>SUMIFS('PO Data'!H:H,'PO Data'!K:K,A27,'PO Data'!I:I,"Delivered")</f>
        <v/>
      </c>
    </row>
  </sheetData>
  <mergeCells count="13">
    <mergeCell ref="A4:B4"/>
    <mergeCell ref="G4:H4"/>
    <mergeCell ref="A2:L2"/>
    <mergeCell ref="J4:K4"/>
    <mergeCell ref="J5:K5"/>
    <mergeCell ref="A1:L1"/>
    <mergeCell ref="D5:E5"/>
    <mergeCell ref="A5:B5"/>
    <mergeCell ref="G5:H5"/>
    <mergeCell ref="D4:E4"/>
    <mergeCell ref="A8:E8"/>
    <mergeCell ref="A22:E22"/>
    <mergeCell ref="G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32" t="inlineStr">
        <is>
          <t>PROJECT 01 — PROCUREMENT SPEND TRACKER</t>
        </is>
      </c>
    </row>
    <row r="3" ht="36" customHeight="1">
      <c r="A3" s="33" t="inlineStr">
        <is>
          <t>What is this?</t>
        </is>
      </c>
      <c r="B3" s="34" t="inlineStr">
        <is>
          <t>A simulated Procurement Spend Tracker for FY 2024. Built as a Data Analytics portfolio project by Kutlo Hlolo Tsheiso.</t>
        </is>
      </c>
    </row>
    <row r="4" ht="36" customHeight="1">
      <c r="A4" s="33" t="inlineStr">
        <is>
          <t>PO Data sheet</t>
        </is>
      </c>
      <c r="B4" s="34" t="inlineStr">
        <is>
          <t>Contains 120 simulated Purchase Orders across 10 suppliers and 4 categories. Includes order dates, delivery dates, quantities, unit prices, and status.</t>
        </is>
      </c>
    </row>
    <row r="5" ht="36" customHeight="1">
      <c r="A5" s="33" t="inlineStr">
        <is>
          <t>Dashboard sheet</t>
        </is>
      </c>
      <c r="B5" s="34" t="inlineStr">
        <is>
          <t>Contains KPI cards, supplier summary, category breakdown, and quarterly analysis — all driven by formulas referencing PO Data.</t>
        </is>
      </c>
    </row>
    <row r="6" ht="36" customHeight="1">
      <c r="A6" s="33" t="inlineStr">
        <is>
          <t>Key formulas used</t>
        </is>
      </c>
      <c r="B6" s="34" t="inlineStr">
        <is>
          <t>SUMIF, SUMIFS, COUNTIF, AVERAGEIF, TEXT, INT — all dynamically linked to PO Data.</t>
        </is>
      </c>
    </row>
    <row r="7" ht="36" customHeight="1">
      <c r="A7" s="33" t="inlineStr">
        <is>
          <t>Power BI</t>
        </is>
      </c>
      <c r="B7" s="34" t="inlineStr">
        <is>
          <t>Import the 'PO Data' sheet into Power BI to build interactive visuals. Use slicers for Supplier, Category, Quarter and Status.</t>
        </is>
      </c>
    </row>
    <row r="8" ht="36" customHeight="1">
      <c r="A8" s="33" t="inlineStr">
        <is>
          <t>GitHub</t>
        </is>
      </c>
      <c r="B8" s="34" t="inlineStr">
        <is>
          <t>Upload this file + a screenshot of the dashboard to your data-portfolio repo. Add a README explaining what you built and why.</t>
        </is>
      </c>
    </row>
  </sheetData>
  <mergeCells count="7">
    <mergeCell ref="A1:D1"/>
    <mergeCell ref="B3:D3"/>
    <mergeCell ref="B5:D5"/>
    <mergeCell ref="B8:D8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2026-04-10T13:44:25Z</dcterms:created>
  <dcterms:modified xmlns:dcterms="http://purl.org/dc/terms/" xmlns:xsi="http://www.w3.org/2001/XMLSchema-instance" xsi:type="dcterms:W3CDTF">2026-04-10T13:44:25Z</dcterms:modified>
</cp:coreProperties>
</file>